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gianluca/GM Personale/Nuova PIattaforma/"/>
    </mc:Choice>
  </mc:AlternateContent>
  <xr:revisionPtr revIDLastSave="0" documentId="8_{BFDDA2A7-AB06-AA44-BE1C-AD90B4B706D0}" xr6:coauthVersionLast="47" xr6:coauthVersionMax="47" xr10:uidLastSave="{00000000-0000-0000-0000-000000000000}"/>
  <bookViews>
    <workbookView xWindow="3160" yWindow="680" windowWidth="35240" windowHeight="20800" tabRatio="500" activeTab="1" xr2:uid="{00000000-000D-0000-FFFF-FFFF00000000}"/>
  </bookViews>
  <sheets>
    <sheet name="Introduzione" sheetId="1" r:id="rId1"/>
    <sheet name="Questionario" sheetId="2" r:id="rId2"/>
    <sheet name="Risultati" sheetId="3" r:id="rId3"/>
    <sheet name="Appoggio" sheetId="4" state="hidden" r:id="rId4"/>
  </sheets>
  <definedNames>
    <definedName name="_xlnm._FilterDatabase" localSheetId="1" hidden="1">Questionario!$A$2:$Y$253</definedName>
    <definedName name="aaaaaaaaa" localSheetId="1">INDIRECT(ADDRESS(Questionario!XFB1,COLUMN(Questionario!XEY$1),4,))</definedName>
    <definedName name="_xlnm.Print_Area" localSheetId="1">Questionario!$A$1:$Y$253</definedName>
    <definedName name="Range_1">Appoggio!$A$11:$B$13</definedName>
    <definedName name="Range_2">Appoggio!$A$17:$B$18</definedName>
    <definedName name="Range_validi">Appoggio!$A$4:$A$5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Q215" i="2" l="1"/>
  <c r="R215" i="2" s="1"/>
  <c r="Q194" i="2"/>
  <c r="R194" i="2" s="1"/>
  <c r="Q132" i="2"/>
  <c r="R132" i="2" s="1"/>
  <c r="Q93" i="2"/>
  <c r="R93" i="2" s="1"/>
  <c r="Q88" i="2"/>
  <c r="R88" i="2" s="1"/>
  <c r="Q74" i="2"/>
  <c r="R74" i="2" s="1"/>
  <c r="Q63" i="2"/>
  <c r="R63" i="2" s="1"/>
  <c r="Q58" i="2"/>
  <c r="R58" i="2" s="1"/>
  <c r="Q50" i="2"/>
  <c r="R50" i="2" s="1"/>
  <c r="Q34" i="2"/>
  <c r="R34" i="2" s="1"/>
  <c r="U34" i="2" s="1"/>
  <c r="N215" i="2"/>
  <c r="N194" i="2"/>
  <c r="N132" i="2"/>
  <c r="N93" i="2"/>
  <c r="N74" i="2"/>
  <c r="N63" i="2"/>
  <c r="N58" i="2"/>
  <c r="N59" i="2"/>
  <c r="N34" i="2"/>
  <c r="N50" i="2"/>
  <c r="Q19" i="2"/>
  <c r="R19" i="2" s="1"/>
  <c r="N19" i="2"/>
  <c r="Q220" i="2"/>
  <c r="R220" i="2" s="1"/>
  <c r="N220" i="2"/>
  <c r="Q219" i="2"/>
  <c r="R219" i="2" s="1"/>
  <c r="S219" i="2" s="1"/>
  <c r="N219" i="2"/>
  <c r="Q218" i="2"/>
  <c r="R218" i="2" s="1"/>
  <c r="N218" i="2"/>
  <c r="Q217" i="2"/>
  <c r="R217" i="2" s="1"/>
  <c r="N217" i="2"/>
  <c r="L217" i="2"/>
  <c r="G217" i="2" s="1"/>
  <c r="Q57" i="2"/>
  <c r="R57" i="2" s="1"/>
  <c r="N57" i="2"/>
  <c r="L8" i="2"/>
  <c r="G8" i="2" s="1"/>
  <c r="L21" i="2"/>
  <c r="G21" i="2" s="1"/>
  <c r="L25" i="2"/>
  <c r="G25" i="2" s="1"/>
  <c r="L29" i="2"/>
  <c r="G29" i="2" s="1"/>
  <c r="L250" i="2"/>
  <c r="G250" i="2" s="1"/>
  <c r="L246" i="2"/>
  <c r="G246" i="2" s="1"/>
  <c r="L241" i="2"/>
  <c r="G241" i="2" s="1"/>
  <c r="L236" i="2"/>
  <c r="G236" i="2" s="1"/>
  <c r="L229" i="2"/>
  <c r="G229" i="2" s="1"/>
  <c r="L224" i="2"/>
  <c r="G224" i="2" s="1"/>
  <c r="L221" i="2"/>
  <c r="G221" i="2" s="1"/>
  <c r="L211" i="2"/>
  <c r="G211" i="2" s="1"/>
  <c r="L205" i="2"/>
  <c r="G205" i="2" s="1"/>
  <c r="L202" i="2"/>
  <c r="G202" i="2" s="1"/>
  <c r="L198" i="2"/>
  <c r="G198" i="2" s="1"/>
  <c r="L196" i="2"/>
  <c r="G196" i="2" s="1"/>
  <c r="L190" i="2"/>
  <c r="G190" i="2" s="1"/>
  <c r="L183" i="2"/>
  <c r="G183" i="2" s="1"/>
  <c r="L179" i="2"/>
  <c r="G179" i="2" s="1"/>
  <c r="L171" i="2"/>
  <c r="G171" i="2" s="1"/>
  <c r="L166" i="2"/>
  <c r="G166" i="2" s="1"/>
  <c r="L161" i="2"/>
  <c r="G161" i="2" s="1"/>
  <c r="L158" i="2"/>
  <c r="G158" i="2" s="1"/>
  <c r="L153" i="2"/>
  <c r="G153" i="2" s="1"/>
  <c r="L146" i="2"/>
  <c r="G146" i="2" s="1"/>
  <c r="L140" i="2"/>
  <c r="G140" i="2" s="1"/>
  <c r="L134" i="2"/>
  <c r="G134" i="2" s="1"/>
  <c r="L127" i="2"/>
  <c r="G127" i="2" s="1"/>
  <c r="L123" i="2"/>
  <c r="G123" i="2" s="1"/>
  <c r="L118" i="2"/>
  <c r="G118" i="2" s="1"/>
  <c r="L114" i="2"/>
  <c r="G114" i="2" s="1"/>
  <c r="L109" i="2"/>
  <c r="G109" i="2" s="1"/>
  <c r="L101" i="2"/>
  <c r="G101" i="2" s="1"/>
  <c r="L97" i="2"/>
  <c r="G97" i="2" s="1"/>
  <c r="L91" i="2"/>
  <c r="G91" i="2" s="1"/>
  <c r="L86" i="2"/>
  <c r="G86" i="2" s="1"/>
  <c r="L81" i="2"/>
  <c r="G81" i="2" s="1"/>
  <c r="L78" i="2"/>
  <c r="G78" i="2" s="1"/>
  <c r="L77" i="2"/>
  <c r="G77" i="2" s="1"/>
  <c r="L70" i="2"/>
  <c r="G70" i="2" s="1"/>
  <c r="L66" i="2"/>
  <c r="G66" i="2" s="1"/>
  <c r="L60" i="2"/>
  <c r="G60" i="2" s="1"/>
  <c r="L53" i="2"/>
  <c r="G53" i="2" s="1"/>
  <c r="L46" i="2"/>
  <c r="G46" i="2" s="1"/>
  <c r="L41" i="2"/>
  <c r="G41" i="2" s="1"/>
  <c r="L36" i="2"/>
  <c r="G36" i="2" s="1"/>
  <c r="L3" i="2"/>
  <c r="G3" i="2" s="1"/>
  <c r="B6" i="3" s="1"/>
  <c r="C6" i="3" s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1" i="2"/>
  <c r="N52" i="2"/>
  <c r="N53" i="2"/>
  <c r="N54" i="2"/>
  <c r="N55" i="2"/>
  <c r="N56" i="2"/>
  <c r="N60" i="2"/>
  <c r="N61" i="2"/>
  <c r="N62" i="2"/>
  <c r="N64" i="2"/>
  <c r="N65" i="2"/>
  <c r="N66" i="2"/>
  <c r="N67" i="2"/>
  <c r="N68" i="2"/>
  <c r="N69" i="2"/>
  <c r="N70" i="2"/>
  <c r="N71" i="2"/>
  <c r="N72" i="2"/>
  <c r="N73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9" i="2"/>
  <c r="N90" i="2"/>
  <c r="N91" i="2"/>
  <c r="N92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6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3" i="2"/>
  <c r="B7" i="3"/>
  <c r="C8" i="3" s="1"/>
  <c r="B8" i="3"/>
  <c r="B9" i="3"/>
  <c r="C9" i="3" s="1"/>
  <c r="Q65" i="2"/>
  <c r="R65" i="2" s="1"/>
  <c r="Q70" i="2"/>
  <c r="R70" i="2" s="1"/>
  <c r="Q47" i="2"/>
  <c r="R47" i="2" s="1"/>
  <c r="S47" i="2" s="1"/>
  <c r="Q84" i="2"/>
  <c r="R84" i="2" s="1"/>
  <c r="A5" i="4"/>
  <c r="A4" i="4"/>
  <c r="B5" i="3"/>
  <c r="Q15" i="2"/>
  <c r="R15" i="2" s="1"/>
  <c r="Q253" i="2"/>
  <c r="R253" i="2" s="1"/>
  <c r="Q237" i="2"/>
  <c r="R237" i="2" s="1"/>
  <c r="Q222" i="2"/>
  <c r="R222" i="2" s="1"/>
  <c r="T222" i="2" s="1"/>
  <c r="Q201" i="2"/>
  <c r="R201" i="2" s="1"/>
  <c r="Q184" i="2"/>
  <c r="R184" i="2" s="1"/>
  <c r="S184" i="2" s="1"/>
  <c r="Q168" i="2"/>
  <c r="R168" i="2" s="1"/>
  <c r="Q152" i="2"/>
  <c r="R152" i="2" s="1"/>
  <c r="Q136" i="2"/>
  <c r="R136" i="2" s="1"/>
  <c r="Q119" i="2"/>
  <c r="R119" i="2" s="1"/>
  <c r="S119" i="2" s="1"/>
  <c r="Q236" i="2"/>
  <c r="R236" i="2" s="1"/>
  <c r="Q221" i="2"/>
  <c r="R221" i="2" s="1"/>
  <c r="Q200" i="2"/>
  <c r="R200" i="2" s="1"/>
  <c r="Q183" i="2"/>
  <c r="R183" i="2" s="1"/>
  <c r="S183" i="2" s="1"/>
  <c r="Q167" i="2"/>
  <c r="R167" i="2" s="1"/>
  <c r="Q151" i="2"/>
  <c r="R151" i="2" s="1"/>
  <c r="Q135" i="2"/>
  <c r="R135" i="2" s="1"/>
  <c r="Q118" i="2"/>
  <c r="R118" i="2" s="1"/>
  <c r="Q251" i="2"/>
  <c r="R251" i="2" s="1"/>
  <c r="Q235" i="2"/>
  <c r="R235" i="2" s="1"/>
  <c r="T235" i="2" s="1"/>
  <c r="Q216" i="2"/>
  <c r="R216" i="2" s="1"/>
  <c r="Q199" i="2"/>
  <c r="R199" i="2" s="1"/>
  <c r="S199" i="2" s="1"/>
  <c r="Q182" i="2"/>
  <c r="R182" i="2" s="1"/>
  <c r="U182" i="2" s="1"/>
  <c r="Q166" i="2"/>
  <c r="R166" i="2" s="1"/>
  <c r="S166" i="2" s="1"/>
  <c r="Q150" i="2"/>
  <c r="R150" i="2" s="1"/>
  <c r="Q134" i="2"/>
  <c r="R134" i="2" s="1"/>
  <c r="S134" i="2" s="1"/>
  <c r="Q117" i="2"/>
  <c r="R117" i="2" s="1"/>
  <c r="Q250" i="2"/>
  <c r="R250" i="2" s="1"/>
  <c r="T250" i="2" s="1"/>
  <c r="Q234" i="2"/>
  <c r="R234" i="2" s="1"/>
  <c r="Q214" i="2"/>
  <c r="R214" i="2" s="1"/>
  <c r="Q198" i="2"/>
  <c r="R198" i="2" s="1"/>
  <c r="U198" i="2" s="1"/>
  <c r="Q165" i="2"/>
  <c r="R165" i="2" s="1"/>
  <c r="Q149" i="2"/>
  <c r="R149" i="2" s="1"/>
  <c r="Q116" i="2"/>
  <c r="R116" i="2" s="1"/>
  <c r="Q249" i="2"/>
  <c r="R249" i="2" s="1"/>
  <c r="Q213" i="2"/>
  <c r="R213" i="2" s="1"/>
  <c r="Q197" i="2"/>
  <c r="R197" i="2" s="1"/>
  <c r="Q164" i="2"/>
  <c r="R164" i="2" s="1"/>
  <c r="S164" i="2" s="1"/>
  <c r="Q148" i="2"/>
  <c r="R148" i="2" s="1"/>
  <c r="Q115" i="2"/>
  <c r="R115" i="2" s="1"/>
  <c r="S115" i="2" s="1"/>
  <c r="Q248" i="2"/>
  <c r="R248" i="2" s="1"/>
  <c r="Q212" i="2"/>
  <c r="R212" i="2" s="1"/>
  <c r="Q179" i="2"/>
  <c r="R179" i="2" s="1"/>
  <c r="Q163" i="2"/>
  <c r="R163" i="2" s="1"/>
  <c r="Q130" i="2"/>
  <c r="R130" i="2" s="1"/>
  <c r="Q113" i="2"/>
  <c r="R113" i="2" s="1"/>
  <c r="S113" i="2" s="1"/>
  <c r="Q209" i="2"/>
  <c r="R209" i="2" s="1"/>
  <c r="T209" i="2" s="1"/>
  <c r="Q160" i="2"/>
  <c r="R160" i="2" s="1"/>
  <c r="S160" i="2" s="1"/>
  <c r="Q175" i="2"/>
  <c r="R175" i="2" s="1"/>
  <c r="Q243" i="2"/>
  <c r="R243" i="2" s="1"/>
  <c r="Q142" i="2"/>
  <c r="R142" i="2" s="1"/>
  <c r="Q189" i="2"/>
  <c r="R189" i="2" s="1"/>
  <c r="T189" i="2" s="1"/>
  <c r="Q124" i="2"/>
  <c r="R124" i="2" s="1"/>
  <c r="Q172" i="2"/>
  <c r="R172" i="2" s="1"/>
  <c r="S172" i="2" s="1"/>
  <c r="Q223" i="2"/>
  <c r="R223" i="2" s="1"/>
  <c r="Q153" i="2"/>
  <c r="R153" i="2" s="1"/>
  <c r="Q252" i="2"/>
  <c r="R252" i="2" s="1"/>
  <c r="Q181" i="2"/>
  <c r="R181" i="2" s="1"/>
  <c r="Q133" i="2"/>
  <c r="R133" i="2" s="1"/>
  <c r="S133" i="2" s="1"/>
  <c r="Q233" i="2"/>
  <c r="R233" i="2" s="1"/>
  <c r="Q180" i="2"/>
  <c r="R180" i="2" s="1"/>
  <c r="Q131" i="2"/>
  <c r="R131" i="2" s="1"/>
  <c r="S131" i="2" s="1"/>
  <c r="Q232" i="2"/>
  <c r="R232" i="2" s="1"/>
  <c r="T232" i="2" s="1"/>
  <c r="Q196" i="2"/>
  <c r="R196" i="2" s="1"/>
  <c r="Q147" i="2"/>
  <c r="R147" i="2" s="1"/>
  <c r="Q114" i="2"/>
  <c r="R114" i="2" s="1"/>
  <c r="Q192" i="2"/>
  <c r="R192" i="2" s="1"/>
  <c r="Q144" i="2"/>
  <c r="R144" i="2" s="1"/>
  <c r="Q159" i="2"/>
  <c r="R159" i="2" s="1"/>
  <c r="Q174" i="2"/>
  <c r="R174" i="2" s="1"/>
  <c r="S174" i="2" s="1"/>
  <c r="Q125" i="2"/>
  <c r="R125" i="2" s="1"/>
  <c r="Q173" i="2"/>
  <c r="R173" i="2" s="1"/>
  <c r="Q241" i="2"/>
  <c r="R241" i="2" s="1"/>
  <c r="T241" i="2" s="1"/>
  <c r="Q247" i="2"/>
  <c r="R247" i="2" s="1"/>
  <c r="Q231" i="2"/>
  <c r="R231" i="2" s="1"/>
  <c r="S231" i="2" s="1"/>
  <c r="Q210" i="2"/>
  <c r="R210" i="2" s="1"/>
  <c r="Q195" i="2"/>
  <c r="R195" i="2" s="1"/>
  <c r="S195" i="2" s="1"/>
  <c r="Q178" i="2"/>
  <c r="R178" i="2" s="1"/>
  <c r="S178" i="2" s="1"/>
  <c r="Q162" i="2"/>
  <c r="R162" i="2" s="1"/>
  <c r="T162" i="2" s="1"/>
  <c r="Q146" i="2"/>
  <c r="R146" i="2" s="1"/>
  <c r="Q129" i="2"/>
  <c r="R129" i="2" s="1"/>
  <c r="Q176" i="2"/>
  <c r="R176" i="2" s="1"/>
  <c r="Q127" i="2"/>
  <c r="R127" i="2" s="1"/>
  <c r="Q143" i="2"/>
  <c r="R143" i="2" s="1"/>
  <c r="T143" i="2" s="1"/>
  <c r="Q207" i="2"/>
  <c r="R207" i="2" s="1"/>
  <c r="S207" i="2" s="1"/>
  <c r="Q188" i="2"/>
  <c r="R188" i="2" s="1"/>
  <c r="S188" i="2" s="1"/>
  <c r="Q139" i="2"/>
  <c r="R139" i="2" s="1"/>
  <c r="T139" i="2" s="1"/>
  <c r="Q154" i="2"/>
  <c r="R154" i="2" s="1"/>
  <c r="Q185" i="2"/>
  <c r="R185" i="2" s="1"/>
  <c r="Q246" i="2"/>
  <c r="R246" i="2" s="1"/>
  <c r="Q230" i="2"/>
  <c r="R230" i="2" s="1"/>
  <c r="S230" i="2" s="1"/>
  <c r="Q211" i="2"/>
  <c r="R211" i="2" s="1"/>
  <c r="Q193" i="2"/>
  <c r="R193" i="2" s="1"/>
  <c r="S193" i="2" s="1"/>
  <c r="Q177" i="2"/>
  <c r="R177" i="2" s="1"/>
  <c r="S177" i="2" s="1"/>
  <c r="Q161" i="2"/>
  <c r="R161" i="2" s="1"/>
  <c r="T161" i="2" s="1"/>
  <c r="Q145" i="2"/>
  <c r="R145" i="2" s="1"/>
  <c r="Q128" i="2"/>
  <c r="R128" i="2" s="1"/>
  <c r="Q112" i="2"/>
  <c r="R112" i="2" s="1"/>
  <c r="Q229" i="2"/>
  <c r="R229" i="2" s="1"/>
  <c r="Q111" i="2"/>
  <c r="R111" i="2" s="1"/>
  <c r="S111" i="2" s="1"/>
  <c r="Q110" i="2"/>
  <c r="R110" i="2" s="1"/>
  <c r="Q190" i="2"/>
  <c r="R190" i="2" s="1"/>
  <c r="S190" i="2" s="1"/>
  <c r="Q226" i="2"/>
  <c r="R226" i="2" s="1"/>
  <c r="U226" i="2" s="1"/>
  <c r="Q141" i="2"/>
  <c r="R141" i="2" s="1"/>
  <c r="S141" i="2" s="1"/>
  <c r="Q205" i="2"/>
  <c r="R205" i="2" s="1"/>
  <c r="S205" i="2" s="1"/>
  <c r="Q187" i="2"/>
  <c r="R187" i="2" s="1"/>
  <c r="Q138" i="2"/>
  <c r="R138" i="2" s="1"/>
  <c r="Q202" i="2"/>
  <c r="R202" i="2" s="1"/>
  <c r="Q245" i="2"/>
  <c r="R245" i="2" s="1"/>
  <c r="S245" i="2" s="1"/>
  <c r="Q206" i="2"/>
  <c r="R206" i="2" s="1"/>
  <c r="S206" i="2" s="1"/>
  <c r="Q156" i="2"/>
  <c r="R156" i="2" s="1"/>
  <c r="Q155" i="2"/>
  <c r="R155" i="2" s="1"/>
  <c r="S155" i="2" s="1"/>
  <c r="Q186" i="2"/>
  <c r="R186" i="2" s="1"/>
  <c r="Q169" i="2"/>
  <c r="R169" i="2" s="1"/>
  <c r="Q244" i="2"/>
  <c r="R244" i="2" s="1"/>
  <c r="Q208" i="2"/>
  <c r="R208" i="2" s="1"/>
  <c r="Q191" i="2"/>
  <c r="R191" i="2" s="1"/>
  <c r="S191" i="2" s="1"/>
  <c r="Q126" i="2"/>
  <c r="R126" i="2" s="1"/>
  <c r="Q158" i="2"/>
  <c r="R158" i="2" s="1"/>
  <c r="Q242" i="2"/>
  <c r="R242" i="2" s="1"/>
  <c r="Q157" i="2"/>
  <c r="R157" i="2" s="1"/>
  <c r="Q225" i="2"/>
  <c r="R225" i="2" s="1"/>
  <c r="Q123" i="2"/>
  <c r="R123" i="2" s="1"/>
  <c r="Q122" i="2"/>
  <c r="R122" i="2" s="1"/>
  <c r="Q170" i="2"/>
  <c r="R170" i="2" s="1"/>
  <c r="S170" i="2" s="1"/>
  <c r="Q137" i="2"/>
  <c r="R137" i="2" s="1"/>
  <c r="Q227" i="2"/>
  <c r="R227" i="2" s="1"/>
  <c r="S227" i="2" s="1"/>
  <c r="Q140" i="2"/>
  <c r="R140" i="2" s="1"/>
  <c r="S140" i="2" s="1"/>
  <c r="Q204" i="2"/>
  <c r="R204" i="2" s="1"/>
  <c r="Q203" i="2"/>
  <c r="R203" i="2" s="1"/>
  <c r="Q240" i="2"/>
  <c r="R240" i="2" s="1"/>
  <c r="Q224" i="2"/>
  <c r="R224" i="2" s="1"/>
  <c r="S224" i="2" s="1"/>
  <c r="Q171" i="2"/>
  <c r="R171" i="2" s="1"/>
  <c r="S171" i="2" s="1"/>
  <c r="Q120" i="2"/>
  <c r="R120" i="2" s="1"/>
  <c r="Q239" i="2"/>
  <c r="R239" i="2" s="1"/>
  <c r="Q121" i="2"/>
  <c r="R121" i="2" s="1"/>
  <c r="T121" i="2" s="1"/>
  <c r="Q238" i="2"/>
  <c r="R238" i="2" s="1"/>
  <c r="Q107" i="2"/>
  <c r="R107" i="2" s="1"/>
  <c r="T107" i="2" s="1"/>
  <c r="Q82" i="2"/>
  <c r="R82" i="2" s="1"/>
  <c r="Q67" i="2"/>
  <c r="R67" i="2" s="1"/>
  <c r="Q72" i="2"/>
  <c r="R72" i="2" s="1"/>
  <c r="U72" i="2" s="1"/>
  <c r="Q31" i="2"/>
  <c r="R31" i="2" s="1"/>
  <c r="Q106" i="2"/>
  <c r="R106" i="2" s="1"/>
  <c r="Q61" i="2"/>
  <c r="R61" i="2" s="1"/>
  <c r="S61" i="2" s="1"/>
  <c r="Q43" i="2"/>
  <c r="R43" i="2" s="1"/>
  <c r="Q51" i="2"/>
  <c r="R51" i="2" s="1"/>
  <c r="Q30" i="2"/>
  <c r="R30" i="2" s="1"/>
  <c r="Q105" i="2"/>
  <c r="R105" i="2" s="1"/>
  <c r="U105" i="2" s="1"/>
  <c r="Q41" i="2"/>
  <c r="R41" i="2" s="1"/>
  <c r="S41" i="2" s="1"/>
  <c r="Q44" i="2"/>
  <c r="R44" i="2" s="1"/>
  <c r="Q91" i="2"/>
  <c r="R91" i="2" s="1"/>
  <c r="Q29" i="2"/>
  <c r="R29" i="2" s="1"/>
  <c r="S29" i="2" s="1"/>
  <c r="Q100" i="2"/>
  <c r="R100" i="2" s="1"/>
  <c r="U100" i="2" s="1"/>
  <c r="Q98" i="2"/>
  <c r="R98" i="2" s="1"/>
  <c r="Q102" i="2"/>
  <c r="R102" i="2" s="1"/>
  <c r="T102" i="2" s="1"/>
  <c r="Q101" i="2"/>
  <c r="R101" i="2" s="1"/>
  <c r="Q40" i="2"/>
  <c r="R40" i="2" s="1"/>
  <c r="Q56" i="2"/>
  <c r="R56" i="2" s="1"/>
  <c r="T56" i="2" s="1"/>
  <c r="Q71" i="2"/>
  <c r="R71" i="2" s="1"/>
  <c r="S71" i="2" s="1"/>
  <c r="Q25" i="2"/>
  <c r="R25" i="2" s="1"/>
  <c r="S25" i="2" s="1"/>
  <c r="Q78" i="2"/>
  <c r="R78" i="2" s="1"/>
  <c r="Q46" i="2"/>
  <c r="R46" i="2" s="1"/>
  <c r="Q59" i="2"/>
  <c r="R59" i="2" s="1"/>
  <c r="Q36" i="2"/>
  <c r="R36" i="2" s="1"/>
  <c r="U36" i="2" s="1"/>
  <c r="Q62" i="2"/>
  <c r="R62" i="2" s="1"/>
  <c r="Q42" i="2"/>
  <c r="R42" i="2" s="1"/>
  <c r="Q49" i="2"/>
  <c r="R49" i="2" s="1"/>
  <c r="Q79" i="2"/>
  <c r="R79" i="2" s="1"/>
  <c r="Q87" i="2"/>
  <c r="R87" i="2" s="1"/>
  <c r="T87" i="2" s="1"/>
  <c r="Q77" i="2"/>
  <c r="R77" i="2" s="1"/>
  <c r="Q97" i="2"/>
  <c r="R97" i="2" s="1"/>
  <c r="U97" i="2" s="1"/>
  <c r="Q90" i="2"/>
  <c r="R90" i="2" s="1"/>
  <c r="Q21" i="2"/>
  <c r="R21" i="2" s="1"/>
  <c r="S21" i="2" s="1"/>
  <c r="Q66" i="2"/>
  <c r="R66" i="2" s="1"/>
  <c r="U66" i="2" s="1"/>
  <c r="Q45" i="2"/>
  <c r="R45" i="2" s="1"/>
  <c r="S45" i="2" s="1"/>
  <c r="Q95" i="2"/>
  <c r="R95" i="2" s="1"/>
  <c r="Q37" i="2"/>
  <c r="R37" i="2" s="1"/>
  <c r="Q68" i="2"/>
  <c r="R68" i="2" s="1"/>
  <c r="Q35" i="2"/>
  <c r="R35" i="2" s="1"/>
  <c r="Q73" i="2"/>
  <c r="R73" i="2" s="1"/>
  <c r="S73" i="2" s="1"/>
  <c r="Q32" i="2"/>
  <c r="R32" i="2" s="1"/>
  <c r="S32" i="2" s="1"/>
  <c r="Q28" i="2"/>
  <c r="R28" i="2" s="1"/>
  <c r="Q81" i="2"/>
  <c r="R81" i="2" s="1"/>
  <c r="Q99" i="2"/>
  <c r="R99" i="2" s="1"/>
  <c r="S99" i="2" s="1"/>
  <c r="Q38" i="2"/>
  <c r="R38" i="2" s="1"/>
  <c r="Q86" i="2"/>
  <c r="R86" i="2" s="1"/>
  <c r="Q48" i="2"/>
  <c r="R48" i="2" s="1"/>
  <c r="U48" i="2" s="1"/>
  <c r="Q89" i="2"/>
  <c r="R89" i="2" s="1"/>
  <c r="S89" i="2" s="1"/>
  <c r="Q80" i="2"/>
  <c r="R80" i="2" s="1"/>
  <c r="Q55" i="2"/>
  <c r="R55" i="2" s="1"/>
  <c r="Q39" i="2"/>
  <c r="R39" i="2" s="1"/>
  <c r="Q96" i="2"/>
  <c r="R96" i="2" s="1"/>
  <c r="Q53" i="2"/>
  <c r="R53" i="2" s="1"/>
  <c r="Q94" i="2"/>
  <c r="R94" i="2" s="1"/>
  <c r="Q33" i="2"/>
  <c r="R33" i="2" s="1"/>
  <c r="Q108" i="2"/>
  <c r="R108" i="2" s="1"/>
  <c r="T108" i="2" s="1"/>
  <c r="Q64" i="2"/>
  <c r="R64" i="2" s="1"/>
  <c r="Q103" i="2"/>
  <c r="R103" i="2" s="1"/>
  <c r="Q60" i="2"/>
  <c r="R60" i="2" s="1"/>
  <c r="Q76" i="2"/>
  <c r="R76" i="2" s="1"/>
  <c r="S76" i="2" s="1"/>
  <c r="Q54" i="2"/>
  <c r="R54" i="2" s="1"/>
  <c r="Q83" i="2"/>
  <c r="R83" i="2" s="1"/>
  <c r="T83" i="2" s="1"/>
  <c r="Q52" i="2"/>
  <c r="R52" i="2" s="1"/>
  <c r="Q69" i="2"/>
  <c r="R69" i="2" s="1"/>
  <c r="U69" i="2" s="1"/>
  <c r="Q85" i="2"/>
  <c r="R85" i="2" s="1"/>
  <c r="Q75" i="2"/>
  <c r="R75" i="2" s="1"/>
  <c r="Q104" i="2"/>
  <c r="R104" i="2" s="1"/>
  <c r="Q109" i="2"/>
  <c r="R109" i="2" s="1"/>
  <c r="S109" i="2" s="1"/>
  <c r="Q92" i="2"/>
  <c r="R92" i="2" s="1"/>
  <c r="S92" i="2" s="1"/>
  <c r="Q27" i="2"/>
  <c r="R27" i="2" s="1"/>
  <c r="U27" i="2" s="1"/>
  <c r="Q26" i="2"/>
  <c r="R26" i="2" s="1"/>
  <c r="U26" i="2" s="1"/>
  <c r="Q228" i="2"/>
  <c r="R228" i="2" s="1"/>
  <c r="S228" i="2" s="1"/>
  <c r="Q20" i="2"/>
  <c r="R20" i="2" s="1"/>
  <c r="S20" i="2" s="1"/>
  <c r="Q18" i="2"/>
  <c r="R18" i="2" s="1"/>
  <c r="S18" i="2" s="1"/>
  <c r="Q17" i="2"/>
  <c r="R17" i="2" s="1"/>
  <c r="Q16" i="2"/>
  <c r="R16" i="2" s="1"/>
  <c r="S16" i="2" s="1"/>
  <c r="Q14" i="2"/>
  <c r="R14" i="2" s="1"/>
  <c r="Q13" i="2"/>
  <c r="R13" i="2" s="1"/>
  <c r="Q12" i="2"/>
  <c r="R12" i="2" s="1"/>
  <c r="Q11" i="2"/>
  <c r="R11" i="2" s="1"/>
  <c r="Q10" i="2"/>
  <c r="R10" i="2" s="1"/>
  <c r="Q9" i="2"/>
  <c r="R9" i="2" s="1"/>
  <c r="Q23" i="2"/>
  <c r="R23" i="2" s="1"/>
  <c r="S23" i="2" s="1"/>
  <c r="Q24" i="2"/>
  <c r="R24" i="2" s="1"/>
  <c r="Q22" i="2"/>
  <c r="R22" i="2" s="1"/>
  <c r="Q8" i="2"/>
  <c r="R8" i="2" s="1"/>
  <c r="Q7" i="2"/>
  <c r="R7" i="2" s="1"/>
  <c r="Q6" i="2"/>
  <c r="R6" i="2" s="1"/>
  <c r="Q5" i="2"/>
  <c r="R5" i="2" s="1"/>
  <c r="Q4" i="2"/>
  <c r="R4" i="2" s="1"/>
  <c r="Q3" i="2"/>
  <c r="R3" i="2" s="1"/>
  <c r="W12" i="2"/>
  <c r="P170" i="2" a="1"/>
  <c r="W237" i="2"/>
  <c r="W30" i="2"/>
  <c r="W35" i="2"/>
  <c r="P186" i="2" a="1"/>
  <c r="P15" i="2" a="1"/>
  <c r="W159" i="2"/>
  <c r="P246" i="2" a="1"/>
  <c r="P209" i="2" a="1"/>
  <c r="P94" i="2" a="1"/>
  <c r="P236" i="2" a="1"/>
  <c r="P235" i="2" a="1"/>
  <c r="P72" i="2" a="1"/>
  <c r="W21" i="2"/>
  <c r="W165" i="2"/>
  <c r="P225" i="2" a="1"/>
  <c r="P242" i="2" a="1"/>
  <c r="W158" i="2"/>
  <c r="W154" i="2"/>
  <c r="W216" i="2"/>
  <c r="W85" i="2"/>
  <c r="W203" i="2"/>
  <c r="P239" i="2" a="1"/>
  <c r="W45" i="2"/>
  <c r="W223" i="2"/>
  <c r="P232" i="2" a="1"/>
  <c r="W83" i="2"/>
  <c r="W175" i="2"/>
  <c r="W68" i="2"/>
  <c r="W124" i="2"/>
  <c r="W207" i="2"/>
  <c r="P106" i="2" a="1"/>
  <c r="P71" i="2" a="1"/>
  <c r="W231" i="2"/>
  <c r="W136" i="2"/>
  <c r="P143" i="2" a="1"/>
  <c r="P39" i="2" a="1"/>
  <c r="P197" i="2" a="1"/>
  <c r="W14" i="2"/>
  <c r="W121" i="2"/>
  <c r="W215" i="2"/>
  <c r="W218" i="2"/>
  <c r="W107" i="2"/>
  <c r="W157" i="2"/>
  <c r="W93" i="2"/>
  <c r="W211" i="2"/>
  <c r="P48" i="2" a="1"/>
  <c r="W132" i="2"/>
  <c r="W222" i="2"/>
  <c r="W57" i="2"/>
  <c r="W233" i="2"/>
  <c r="P84" i="2" a="1"/>
  <c r="P241" i="2" a="1"/>
  <c r="P133" i="2" a="1"/>
  <c r="P243" i="2" a="1"/>
  <c r="P178" i="2" a="1"/>
  <c r="P227" i="2" a="1"/>
  <c r="W199" i="2"/>
  <c r="P124" i="2" a="1"/>
  <c r="W225" i="2"/>
  <c r="P93" i="2" a="1"/>
  <c r="P68" i="2" a="1"/>
  <c r="W60" i="2"/>
  <c r="P83" i="2" a="1"/>
  <c r="P44" i="2" a="1"/>
  <c r="P250" i="2" a="1"/>
  <c r="W180" i="2"/>
  <c r="P45" i="2" a="1"/>
  <c r="P76" i="2" a="1"/>
  <c r="W43" i="2"/>
  <c r="P21" i="2" a="1"/>
  <c r="W208" i="2"/>
  <c r="W125" i="2"/>
  <c r="W183" i="2"/>
  <c r="W46" i="2"/>
  <c r="W67" i="2"/>
  <c r="W70" i="2"/>
  <c r="P14" i="2" a="1"/>
  <c r="P142" i="2" a="1"/>
  <c r="P43" i="2" a="1"/>
  <c r="P102" i="2" a="1"/>
  <c r="W187" i="2"/>
  <c r="P103" i="2" a="1"/>
  <c r="P160" i="2" a="1"/>
  <c r="W11" i="2"/>
  <c r="W47" i="2"/>
  <c r="P190" i="2" a="1"/>
  <c r="W153" i="2"/>
  <c r="W41" i="2"/>
  <c r="P145" i="2" a="1"/>
  <c r="W241" i="2"/>
  <c r="W162" i="2"/>
  <c r="P253" i="2" a="1"/>
  <c r="P131" i="2" a="1"/>
  <c r="P248" i="2" a="1"/>
  <c r="W186" i="2"/>
  <c r="P189" i="2" a="1"/>
  <c r="W103" i="2"/>
  <c r="P210" i="2" a="1"/>
  <c r="W226" i="2"/>
  <c r="W24" i="2"/>
  <c r="P78" i="2" a="1"/>
  <c r="P54" i="2" a="1"/>
  <c r="W113" i="2"/>
  <c r="W234" i="2"/>
  <c r="P107" i="2" a="1"/>
  <c r="P20" i="2" a="1"/>
  <c r="P157" i="2" a="1"/>
  <c r="W152" i="2"/>
  <c r="W13" i="2"/>
  <c r="W178" i="2"/>
  <c r="P156" i="2" a="1"/>
  <c r="P116" i="2" a="1"/>
  <c r="W36" i="2"/>
  <c r="W196" i="2"/>
  <c r="W16" i="2"/>
  <c r="W115" i="2"/>
  <c r="W6" i="2"/>
  <c r="W173" i="2"/>
  <c r="P201" i="2" a="1"/>
  <c r="W220" i="2"/>
  <c r="P182" i="2" a="1"/>
  <c r="P214" i="2" a="1"/>
  <c r="W179" i="2"/>
  <c r="P119" i="2" a="1"/>
  <c r="P52" i="2" a="1"/>
  <c r="P192" i="2" a="1"/>
  <c r="P13" i="2" a="1"/>
  <c r="P91" i="2" a="1"/>
  <c r="P132" i="2" a="1"/>
  <c r="P169" i="2" a="1"/>
  <c r="W44" i="2"/>
  <c r="P175" i="2" a="1"/>
  <c r="W32" i="2"/>
  <c r="W52" i="2"/>
  <c r="W53" i="2"/>
  <c r="P184" i="2" a="1"/>
  <c r="P12" i="2" a="1"/>
  <c r="W116" i="2"/>
  <c r="P63" i="2" a="1"/>
  <c r="W8" i="2"/>
  <c r="W169" i="2"/>
  <c r="W117" i="2"/>
  <c r="P194" i="2" a="1"/>
  <c r="W62" i="2"/>
  <c r="P17" i="2" a="1"/>
  <c r="P212" i="2" a="1"/>
  <c r="P110" i="2" a="1"/>
  <c r="W204" i="2"/>
  <c r="P205" i="2" a="1"/>
  <c r="W192" i="2"/>
  <c r="W246" i="2"/>
  <c r="W139" i="2"/>
  <c r="P25" i="2" a="1"/>
  <c r="P140" i="2" a="1"/>
  <c r="W102" i="2"/>
  <c r="W227" i="2"/>
  <c r="P97" i="2" a="1"/>
  <c r="P231" i="2" a="1"/>
  <c r="W99" i="2"/>
  <c r="W27" i="2"/>
  <c r="P38" i="2" a="1"/>
  <c r="P115" i="2" a="1"/>
  <c r="P187" i="2" a="1"/>
  <c r="P99" i="2" a="1"/>
  <c r="P172" i="2" a="1"/>
  <c r="P33" i="2" a="1"/>
  <c r="P114" i="2" a="1"/>
  <c r="W56" i="2"/>
  <c r="P75" i="2" a="1"/>
  <c r="W238" i="2"/>
  <c r="P56" i="2" a="1"/>
  <c r="W92" i="2"/>
  <c r="W195" i="2"/>
  <c r="P85" i="2" a="1"/>
  <c r="P166" i="2" a="1"/>
  <c r="P154" i="2" a="1"/>
  <c r="P237" i="2" a="1"/>
  <c r="P111" i="2" a="1"/>
  <c r="P58" i="2" a="1"/>
  <c r="W55" i="2"/>
  <c r="W64" i="2"/>
  <c r="P208" i="2" a="1"/>
  <c r="P8" i="2" a="1"/>
  <c r="P113" i="2" a="1"/>
  <c r="W202" i="2"/>
  <c r="W167" i="2"/>
  <c r="P202" i="2" a="1"/>
  <c r="P57" i="2" a="1"/>
  <c r="P176" i="2" a="1"/>
  <c r="P158" i="2" a="1"/>
  <c r="W181" i="2"/>
  <c r="P200" i="2" a="1"/>
  <c r="W244" i="2"/>
  <c r="W76" i="2"/>
  <c r="W20" i="2"/>
  <c r="P195" i="2" a="1"/>
  <c r="P174" i="2" a="1"/>
  <c r="W84" i="2"/>
  <c r="W155" i="2"/>
  <c r="P32" i="2" a="1"/>
  <c r="W75" i="2"/>
  <c r="W176" i="2"/>
  <c r="P213" i="2" a="1"/>
  <c r="P65" i="2" a="1"/>
  <c r="P185" i="2" a="1"/>
  <c r="P122" i="2" a="1"/>
  <c r="P229" i="2" a="1"/>
  <c r="W108" i="2"/>
  <c r="P128" i="2" a="1"/>
  <c r="P59" i="2" a="1"/>
  <c r="W112" i="2"/>
  <c r="W151" i="2"/>
  <c r="W49" i="2"/>
  <c r="P188" i="2" a="1"/>
  <c r="W177" i="2"/>
  <c r="P203" i="2" a="1"/>
  <c r="P207" i="2" a="1"/>
  <c r="P34" i="2" a="1"/>
  <c r="W122" i="2"/>
  <c r="P164" i="2" a="1"/>
  <c r="W50" i="2"/>
  <c r="P234" i="2" a="1"/>
  <c r="P118" i="2" a="1"/>
  <c r="P217" i="2" a="1"/>
  <c r="P42" i="2" a="1"/>
  <c r="P193" i="2" a="1"/>
  <c r="W145" i="2"/>
  <c r="P16" i="2" a="1"/>
  <c r="P18" i="2" a="1"/>
  <c r="P86" i="2" a="1"/>
  <c r="W191" i="2"/>
  <c r="P11" i="2" a="1"/>
  <c r="W10" i="2"/>
  <c r="P46" i="2" a="1"/>
  <c r="W29" i="2"/>
  <c r="W168" i="2"/>
  <c r="P3" i="2" a="1"/>
  <c r="P220" i="2" a="1"/>
  <c r="W120" i="2"/>
  <c r="P135" i="2" a="1"/>
  <c r="P163" i="2" a="1"/>
  <c r="W77" i="2"/>
  <c r="W101" i="2"/>
  <c r="W174" i="2"/>
  <c r="W96" i="2"/>
  <c r="P149" i="2" a="1"/>
  <c r="P79" i="2" a="1"/>
  <c r="W156" i="2"/>
  <c r="P216" i="2" a="1"/>
  <c r="W131" i="2"/>
  <c r="W86" i="2"/>
  <c r="W170" i="2"/>
  <c r="W109" i="2"/>
  <c r="P95" i="2" a="1"/>
  <c r="W251" i="2"/>
  <c r="W221" i="2"/>
  <c r="P100" i="2" a="1"/>
  <c r="W138" i="2"/>
  <c r="P81" i="2" a="1"/>
  <c r="P10" i="2" a="1"/>
  <c r="W135" i="2"/>
  <c r="W142" i="2"/>
  <c r="P222" i="2" a="1"/>
  <c r="W235" i="2"/>
  <c r="W184" i="2"/>
  <c r="P204" i="2" a="1"/>
  <c r="P101" i="2" a="1"/>
  <c r="W110" i="2"/>
  <c r="P30" i="2" a="1"/>
  <c r="W144" i="2"/>
  <c r="W38" i="2"/>
  <c r="W3" i="2"/>
  <c r="P120" i="2" a="1"/>
  <c r="W5" i="2"/>
  <c r="W25" i="2"/>
  <c r="P29" i="2" a="1"/>
  <c r="P9" i="2" a="1"/>
  <c r="W79" i="2"/>
  <c r="P152" i="2" a="1"/>
  <c r="W143" i="2"/>
  <c r="P7" i="2" a="1"/>
  <c r="P80" i="2" a="1"/>
  <c r="W105" i="2"/>
  <c r="W74" i="2"/>
  <c r="P162" i="2" a="1"/>
  <c r="W78" i="2"/>
  <c r="P123" i="2" a="1"/>
  <c r="P23" i="2" a="1"/>
  <c r="W104" i="2"/>
  <c r="P24" i="2" a="1"/>
  <c r="P150" i="2" a="1"/>
  <c r="W17" i="2"/>
  <c r="W166" i="2"/>
  <c r="P50" i="2" a="1"/>
  <c r="P89" i="2" a="1"/>
  <c r="P146" i="2" a="1"/>
  <c r="P41" i="2" a="1"/>
  <c r="W80" i="2"/>
  <c r="W189" i="2"/>
  <c r="P62" i="2" a="1"/>
  <c r="W72" i="2"/>
  <c r="W206" i="2"/>
  <c r="W137" i="2"/>
  <c r="W51" i="2"/>
  <c r="W90" i="2"/>
  <c r="P82" i="2" a="1"/>
  <c r="W134" i="2"/>
  <c r="W182" i="2"/>
  <c r="P40" i="2" a="1"/>
  <c r="P181" i="2" a="1"/>
  <c r="W149" i="2"/>
  <c r="W118" i="2"/>
  <c r="P224" i="2" a="1"/>
  <c r="W164" i="2"/>
  <c r="P233" i="2" a="1"/>
  <c r="P90" i="2" a="1"/>
  <c r="W147" i="2"/>
  <c r="W9" i="2"/>
  <c r="W28" i="2"/>
  <c r="W37" i="2"/>
  <c r="W15" i="2"/>
  <c r="P74" i="2" a="1"/>
  <c r="P183" i="2" a="1"/>
  <c r="P238" i="2" a="1"/>
  <c r="P244" i="2" a="1"/>
  <c r="W230" i="2"/>
  <c r="W140" i="2"/>
  <c r="P67" i="2" a="1"/>
  <c r="P215" i="2" a="1"/>
  <c r="W200" i="2"/>
  <c r="P130" i="2" a="1"/>
  <c r="P121" i="2" a="1"/>
  <c r="W97" i="2"/>
  <c r="P167" i="2" a="1"/>
  <c r="P138" i="2" a="1"/>
  <c r="W172" i="2"/>
  <c r="W190" i="2"/>
  <c r="W161" i="2"/>
  <c r="W224" i="2"/>
  <c r="W209" i="2"/>
  <c r="P4" i="2" a="1"/>
  <c r="W193" i="2"/>
  <c r="W82" i="2"/>
  <c r="P53" i="2" a="1"/>
  <c r="P228" i="2" a="1"/>
  <c r="P22" i="2" a="1"/>
  <c r="P153" i="2" a="1"/>
  <c r="P28" i="2" a="1"/>
  <c r="P240" i="2" a="1"/>
  <c r="W111" i="2"/>
  <c r="W94" i="2"/>
  <c r="W128" i="2"/>
  <c r="W236" i="2"/>
  <c r="W100" i="2"/>
  <c r="P92" i="2" a="1"/>
  <c r="W133" i="2"/>
  <c r="W69" i="2"/>
  <c r="W240" i="2"/>
  <c r="W119" i="2"/>
  <c r="W250" i="2"/>
  <c r="P211" i="2" a="1"/>
  <c r="P251" i="2" a="1"/>
  <c r="P125" i="2" a="1"/>
  <c r="W106" i="2"/>
  <c r="P219" i="2" a="1"/>
  <c r="P26" i="2" a="1"/>
  <c r="P104" i="2" a="1"/>
  <c r="W163" i="2"/>
  <c r="W126" i="2"/>
  <c r="P108" i="2" a="1"/>
  <c r="W150" i="2"/>
  <c r="W4" i="2"/>
  <c r="W148" i="2"/>
  <c r="P134" i="2" a="1"/>
  <c r="P49" i="2" a="1"/>
  <c r="P51" i="2" a="1"/>
  <c r="P252" i="2" a="1"/>
  <c r="P73" i="2" a="1"/>
  <c r="P151" i="2" a="1"/>
  <c r="W18" i="2"/>
  <c r="W42" i="2"/>
  <c r="P109" i="2" a="1"/>
  <c r="W31" i="2"/>
  <c r="P173" i="2" a="1"/>
  <c r="P165" i="2" a="1"/>
  <c r="P6" i="2" a="1"/>
  <c r="W61" i="2"/>
  <c r="W242" i="2"/>
  <c r="W188" i="2"/>
  <c r="P144" i="2" a="1"/>
  <c r="W127" i="2"/>
  <c r="W197" i="2"/>
  <c r="W141" i="2"/>
  <c r="W39" i="2"/>
  <c r="W65" i="2"/>
  <c r="P129" i="2" a="1"/>
  <c r="P96" i="2" a="1"/>
  <c r="W229" i="2"/>
  <c r="P171" i="2" a="1"/>
  <c r="P64" i="2" a="1"/>
  <c r="W185" i="2"/>
  <c r="P191" i="2" a="1"/>
  <c r="W54" i="2"/>
  <c r="P223" i="2" a="1"/>
  <c r="W249" i="2"/>
  <c r="W171" i="2"/>
  <c r="W248" i="2"/>
  <c r="P139" i="2" a="1"/>
  <c r="W232" i="2"/>
  <c r="P226" i="2" a="1"/>
  <c r="W130" i="2"/>
  <c r="P159" i="2" a="1"/>
  <c r="W245" i="2"/>
  <c r="P247" i="2" a="1"/>
  <c r="W7" i="2"/>
  <c r="P126" i="2" a="1"/>
  <c r="P27" i="2" a="1"/>
  <c r="P199" i="2" a="1"/>
  <c r="W19" i="2"/>
  <c r="W87" i="2"/>
  <c r="W34" i="2"/>
  <c r="W228" i="2"/>
  <c r="P19" i="2" a="1"/>
  <c r="P117" i="2" a="1"/>
  <c r="P69" i="2" a="1"/>
  <c r="P55" i="2" a="1"/>
  <c r="W89" i="2"/>
  <c r="P70" i="2" a="1"/>
  <c r="W247" i="2"/>
  <c r="P198" i="2" a="1"/>
  <c r="P66" i="2" a="1"/>
  <c r="P221" i="2" a="1"/>
  <c r="W88" i="2"/>
  <c r="P148" i="2" a="1"/>
  <c r="W146" i="2"/>
  <c r="W217" i="2"/>
  <c r="W71" i="2"/>
  <c r="W26" i="2"/>
  <c r="W123" i="2"/>
  <c r="P141" i="2" a="1"/>
  <c r="W160" i="2"/>
  <c r="P60" i="2" a="1"/>
  <c r="P88" i="2" a="1"/>
  <c r="W253" i="2"/>
  <c r="W98" i="2"/>
  <c r="P98" i="2" a="1"/>
  <c r="W81" i="2"/>
  <c r="W219" i="2"/>
  <c r="P147" i="2" a="1"/>
  <c r="W243" i="2"/>
  <c r="W212" i="2"/>
  <c r="W33" i="2"/>
  <c r="W129" i="2"/>
  <c r="P230" i="2" a="1"/>
  <c r="W213" i="2"/>
  <c r="P161" i="2" a="1"/>
  <c r="P105" i="2" a="1"/>
  <c r="P196" i="2" a="1"/>
  <c r="W201" i="2"/>
  <c r="P77" i="2" a="1"/>
  <c r="P47" i="2" a="1"/>
  <c r="P5" i="2" a="1"/>
  <c r="W114" i="2"/>
  <c r="P245" i="2" a="1"/>
  <c r="P36" i="2" a="1"/>
  <c r="W66" i="2"/>
  <c r="W210" i="2"/>
  <c r="P127" i="2" a="1"/>
  <c r="W205" i="2"/>
  <c r="P177" i="2" a="1"/>
  <c r="P137" i="2" a="1"/>
  <c r="W239" i="2"/>
  <c r="W252" i="2"/>
  <c r="W91" i="2"/>
  <c r="W48" i="2"/>
  <c r="W58" i="2"/>
  <c r="W73" i="2"/>
  <c r="P249" i="2" a="1"/>
  <c r="P180" i="2" a="1"/>
  <c r="P179" i="2" a="1"/>
  <c r="W198" i="2"/>
  <c r="P87" i="2" a="1"/>
  <c r="W23" i="2"/>
  <c r="W194" i="2"/>
  <c r="P61" i="2" a="1"/>
  <c r="P112" i="2" a="1"/>
  <c r="W22" i="2"/>
  <c r="W95" i="2"/>
  <c r="W63" i="2"/>
  <c r="W40" i="2"/>
  <c r="P37" i="2" a="1"/>
  <c r="P218" i="2" a="1"/>
  <c r="P35" i="2" a="1"/>
  <c r="W59" i="2"/>
  <c r="P31" i="2" a="1"/>
  <c r="P206" i="2" a="1"/>
  <c r="P155" i="2" a="1"/>
  <c r="P136" i="2" a="1"/>
  <c r="W214" i="2"/>
  <c r="P168" i="2" a="1"/>
  <c r="U215" i="2" l="1"/>
  <c r="T215" i="2"/>
  <c r="S215" i="2"/>
  <c r="U194" i="2"/>
  <c r="T194" i="2"/>
  <c r="S194" i="2"/>
  <c r="U132" i="2"/>
  <c r="T132" i="2"/>
  <c r="S132" i="2"/>
  <c r="U93" i="2"/>
  <c r="T93" i="2"/>
  <c r="S93" i="2"/>
  <c r="U88" i="2"/>
  <c r="T88" i="2"/>
  <c r="S88" i="2"/>
  <c r="U74" i="2"/>
  <c r="S74" i="2"/>
  <c r="T74" i="2"/>
  <c r="U63" i="2"/>
  <c r="T63" i="2"/>
  <c r="S63" i="2"/>
  <c r="U58" i="2"/>
  <c r="T58" i="2"/>
  <c r="S58" i="2"/>
  <c r="U50" i="2"/>
  <c r="T50" i="2"/>
  <c r="S50" i="2"/>
  <c r="S34" i="2"/>
  <c r="T34" i="2"/>
  <c r="P88" i="2"/>
  <c r="V88" i="2" s="1"/>
  <c r="B12" i="3"/>
  <c r="T213" i="2"/>
  <c r="S213" i="2"/>
  <c r="U39" i="2"/>
  <c r="T39" i="2"/>
  <c r="T111" i="2"/>
  <c r="S77" i="2"/>
  <c r="T77" i="2"/>
  <c r="S82" i="2"/>
  <c r="T82" i="2"/>
  <c r="S225" i="2"/>
  <c r="T225" i="2"/>
  <c r="S55" i="2"/>
  <c r="U55" i="2"/>
  <c r="T55" i="2"/>
  <c r="S180" i="2"/>
  <c r="T180" i="2"/>
  <c r="T138" i="2"/>
  <c r="S138" i="2"/>
  <c r="S179" i="2"/>
  <c r="T179" i="2"/>
  <c r="U179" i="2"/>
  <c r="T236" i="2"/>
  <c r="U236" i="2"/>
  <c r="S98" i="2"/>
  <c r="U98" i="2"/>
  <c r="S24" i="2"/>
  <c r="U24" i="2"/>
  <c r="S154" i="2"/>
  <c r="U154" i="2"/>
  <c r="S153" i="2"/>
  <c r="T153" i="2"/>
  <c r="U153" i="2"/>
  <c r="T231" i="2"/>
  <c r="U155" i="2"/>
  <c r="U231" i="2"/>
  <c r="S48" i="2"/>
  <c r="U45" i="2"/>
  <c r="U111" i="2"/>
  <c r="S185" i="2"/>
  <c r="U185" i="2"/>
  <c r="T185" i="2"/>
  <c r="T12" i="2"/>
  <c r="S12" i="2"/>
  <c r="U167" i="2"/>
  <c r="S167" i="2"/>
  <c r="T167" i="2"/>
  <c r="T136" i="2"/>
  <c r="U136" i="2"/>
  <c r="U79" i="2"/>
  <c r="T79" i="2"/>
  <c r="S79" i="2"/>
  <c r="S31" i="2"/>
  <c r="T31" i="2"/>
  <c r="T137" i="2"/>
  <c r="U137" i="2"/>
  <c r="S130" i="2"/>
  <c r="U130" i="2"/>
  <c r="T130" i="2"/>
  <c r="S173" i="2"/>
  <c r="U173" i="2"/>
  <c r="T173" i="2"/>
  <c r="S246" i="2"/>
  <c r="U246" i="2"/>
  <c r="U242" i="2"/>
  <c r="T242" i="2"/>
  <c r="S242" i="2"/>
  <c r="S60" i="2"/>
  <c r="T60" i="2"/>
  <c r="S49" i="2"/>
  <c r="T49" i="2"/>
  <c r="U49" i="2"/>
  <c r="T148" i="2"/>
  <c r="S148" i="2"/>
  <c r="S70" i="2"/>
  <c r="U70" i="2"/>
  <c r="T70" i="2"/>
  <c r="S110" i="2"/>
  <c r="U110" i="2"/>
  <c r="T110" i="2"/>
  <c r="S197" i="2"/>
  <c r="T197" i="2"/>
  <c r="S152" i="2"/>
  <c r="U152" i="2"/>
  <c r="S81" i="2"/>
  <c r="U81" i="2"/>
  <c r="S91" i="2"/>
  <c r="T91" i="2"/>
  <c r="S158" i="2"/>
  <c r="U158" i="2"/>
  <c r="T158" i="2"/>
  <c r="U125" i="2"/>
  <c r="S125" i="2"/>
  <c r="U168" i="2"/>
  <c r="S168" i="2"/>
  <c r="S64" i="2"/>
  <c r="U64" i="2"/>
  <c r="S208" i="2"/>
  <c r="T208" i="2"/>
  <c r="U208" i="2"/>
  <c r="U144" i="2"/>
  <c r="S144" i="2"/>
  <c r="T144" i="2"/>
  <c r="S11" i="2"/>
  <c r="T11" i="2"/>
  <c r="S26" i="2"/>
  <c r="T20" i="2"/>
  <c r="U133" i="2"/>
  <c r="T21" i="2"/>
  <c r="T25" i="2"/>
  <c r="U29" i="2"/>
  <c r="U134" i="2"/>
  <c r="U224" i="2"/>
  <c r="T26" i="2"/>
  <c r="T115" i="2"/>
  <c r="T227" i="2"/>
  <c r="S236" i="2"/>
  <c r="T24" i="2"/>
  <c r="U138" i="2"/>
  <c r="U222" i="2"/>
  <c r="U71" i="2"/>
  <c r="T29" i="2"/>
  <c r="T140" i="2"/>
  <c r="U20" i="2"/>
  <c r="U227" i="2"/>
  <c r="U82" i="2"/>
  <c r="U140" i="2"/>
  <c r="U235" i="2"/>
  <c r="T36" i="2"/>
  <c r="S209" i="2"/>
  <c r="S226" i="2"/>
  <c r="T154" i="2"/>
  <c r="S162" i="2"/>
  <c r="T45" i="2"/>
  <c r="U73" i="2"/>
  <c r="S222" i="2"/>
  <c r="U195" i="2"/>
  <c r="U193" i="2"/>
  <c r="T16" i="2"/>
  <c r="U121" i="2"/>
  <c r="S83" i="2"/>
  <c r="T71" i="2"/>
  <c r="S36" i="2"/>
  <c r="U207" i="2"/>
  <c r="T207" i="2"/>
  <c r="S17" i="2"/>
  <c r="U17" i="2"/>
  <c r="T17" i="2"/>
  <c r="S4" i="2"/>
  <c r="U4" i="2"/>
  <c r="T4" i="2"/>
  <c r="S165" i="2"/>
  <c r="T165" i="2"/>
  <c r="U165" i="2"/>
  <c r="U5" i="2"/>
  <c r="T5" i="2"/>
  <c r="S5" i="2"/>
  <c r="S104" i="2"/>
  <c r="U104" i="2"/>
  <c r="T104" i="2"/>
  <c r="T106" i="2"/>
  <c r="S106" i="2"/>
  <c r="U106" i="2"/>
  <c r="T156" i="2"/>
  <c r="U156" i="2"/>
  <c r="S156" i="2"/>
  <c r="S13" i="2"/>
  <c r="T13" i="2"/>
  <c r="U13" i="2"/>
  <c r="T14" i="2"/>
  <c r="U14" i="2"/>
  <c r="S14" i="2"/>
  <c r="T15" i="2"/>
  <c r="U15" i="2"/>
  <c r="S15" i="2"/>
  <c r="U96" i="2"/>
  <c r="T96" i="2"/>
  <c r="S96" i="2"/>
  <c r="T95" i="2"/>
  <c r="S95" i="2"/>
  <c r="S146" i="2"/>
  <c r="T146" i="2"/>
  <c r="U146" i="2"/>
  <c r="S196" i="2"/>
  <c r="U196" i="2"/>
  <c r="T196" i="2"/>
  <c r="U75" i="2"/>
  <c r="S75" i="2"/>
  <c r="T75" i="2"/>
  <c r="S214" i="2"/>
  <c r="T214" i="2"/>
  <c r="S85" i="2"/>
  <c r="U85" i="2"/>
  <c r="T85" i="2"/>
  <c r="S210" i="2"/>
  <c r="T210" i="2"/>
  <c r="U210" i="2"/>
  <c r="S181" i="2"/>
  <c r="U181" i="2"/>
  <c r="T181" i="2"/>
  <c r="T252" i="2"/>
  <c r="S252" i="2"/>
  <c r="U252" i="2"/>
  <c r="T80" i="2"/>
  <c r="U80" i="2"/>
  <c r="S80" i="2"/>
  <c r="S40" i="2"/>
  <c r="U40" i="2"/>
  <c r="T40" i="2"/>
  <c r="S234" i="2"/>
  <c r="T234" i="2"/>
  <c r="U234" i="2"/>
  <c r="S200" i="2"/>
  <c r="U200" i="2"/>
  <c r="T200" i="2"/>
  <c r="S8" i="2"/>
  <c r="T8" i="2"/>
  <c r="U90" i="2"/>
  <c r="T90" i="2"/>
  <c r="S90" i="2"/>
  <c r="S101" i="2"/>
  <c r="U101" i="2"/>
  <c r="T101" i="2"/>
  <c r="S67" i="2"/>
  <c r="T67" i="2"/>
  <c r="U67" i="2"/>
  <c r="S122" i="2"/>
  <c r="U122" i="2"/>
  <c r="T122" i="2"/>
  <c r="T202" i="2"/>
  <c r="S202" i="2"/>
  <c r="U202" i="2"/>
  <c r="S211" i="2"/>
  <c r="T211" i="2"/>
  <c r="U211" i="2"/>
  <c r="S233" i="2"/>
  <c r="T233" i="2"/>
  <c r="U233" i="2"/>
  <c r="T163" i="2"/>
  <c r="S163" i="2"/>
  <c r="U163" i="2"/>
  <c r="S221" i="2"/>
  <c r="U221" i="2"/>
  <c r="T221" i="2"/>
  <c r="U220" i="2"/>
  <c r="S220" i="2"/>
  <c r="T220" i="2"/>
  <c r="U52" i="2"/>
  <c r="T52" i="2"/>
  <c r="S52" i="2"/>
  <c r="U123" i="2"/>
  <c r="S123" i="2"/>
  <c r="T123" i="2"/>
  <c r="T117" i="2"/>
  <c r="U117" i="2"/>
  <c r="S117" i="2"/>
  <c r="S187" i="2"/>
  <c r="U187" i="2"/>
  <c r="T187" i="2"/>
  <c r="U248" i="2"/>
  <c r="T248" i="2"/>
  <c r="S248" i="2"/>
  <c r="T86" i="2"/>
  <c r="S86" i="2"/>
  <c r="U86" i="2"/>
  <c r="S238" i="2"/>
  <c r="T238" i="2"/>
  <c r="U238" i="2"/>
  <c r="S150" i="2"/>
  <c r="U150" i="2"/>
  <c r="T150" i="2"/>
  <c r="S10" i="2"/>
  <c r="T10" i="2"/>
  <c r="U10" i="2"/>
  <c r="S239" i="2"/>
  <c r="T239" i="2"/>
  <c r="U239" i="2"/>
  <c r="T223" i="2"/>
  <c r="U223" i="2"/>
  <c r="S223" i="2"/>
  <c r="U103" i="2"/>
  <c r="T103" i="2"/>
  <c r="S103" i="2"/>
  <c r="T28" i="2"/>
  <c r="S28" i="2"/>
  <c r="U28" i="2"/>
  <c r="S42" i="2"/>
  <c r="U42" i="2"/>
  <c r="T42" i="2"/>
  <c r="S44" i="2"/>
  <c r="T44" i="2"/>
  <c r="U44" i="2"/>
  <c r="T120" i="2"/>
  <c r="S120" i="2"/>
  <c r="U120" i="2"/>
  <c r="T126" i="2"/>
  <c r="S126" i="2"/>
  <c r="T38" i="2"/>
  <c r="S38" i="2"/>
  <c r="T62" i="2"/>
  <c r="S62" i="2"/>
  <c r="U62" i="2"/>
  <c r="S159" i="2"/>
  <c r="U159" i="2"/>
  <c r="T159" i="2"/>
  <c r="S124" i="2"/>
  <c r="U124" i="2"/>
  <c r="T124" i="2"/>
  <c r="S216" i="2"/>
  <c r="U216" i="2"/>
  <c r="T216" i="2"/>
  <c r="S201" i="2"/>
  <c r="U201" i="2"/>
  <c r="S54" i="2"/>
  <c r="U54" i="2"/>
  <c r="S65" i="2"/>
  <c r="T65" i="2"/>
  <c r="U65" i="2"/>
  <c r="S247" i="2"/>
  <c r="T247" i="2"/>
  <c r="U247" i="2"/>
  <c r="S157" i="2"/>
  <c r="U157" i="2"/>
  <c r="T157" i="2"/>
  <c r="S212" i="2"/>
  <c r="T212" i="2"/>
  <c r="U212" i="2"/>
  <c r="S145" i="2"/>
  <c r="T145" i="2"/>
  <c r="U145" i="2"/>
  <c r="S151" i="2"/>
  <c r="T151" i="2"/>
  <c r="U151" i="2"/>
  <c r="U225" i="2"/>
  <c r="S105" i="2"/>
  <c r="U25" i="2"/>
  <c r="U91" i="2"/>
  <c r="U76" i="2"/>
  <c r="U115" i="2"/>
  <c r="U143" i="2"/>
  <c r="U160" i="2"/>
  <c r="U228" i="2"/>
  <c r="U250" i="2"/>
  <c r="T32" i="2"/>
  <c r="T64" i="2"/>
  <c r="T155" i="2"/>
  <c r="T193" i="2"/>
  <c r="T246" i="2"/>
  <c r="T245" i="2"/>
  <c r="U12" i="2"/>
  <c r="U31" i="2"/>
  <c r="U99" i="2"/>
  <c r="U141" i="2"/>
  <c r="U205" i="2"/>
  <c r="U230" i="2"/>
  <c r="S102" i="2"/>
  <c r="T41" i="2"/>
  <c r="T195" i="2"/>
  <c r="T224" i="2"/>
  <c r="S39" i="2"/>
  <c r="S250" i="2"/>
  <c r="S143" i="2"/>
  <c r="S161" i="2"/>
  <c r="S121" i="2"/>
  <c r="U32" i="2"/>
  <c r="U60" i="2"/>
  <c r="U102" i="2"/>
  <c r="U119" i="2"/>
  <c r="U166" i="2"/>
  <c r="U232" i="2"/>
  <c r="T98" i="2"/>
  <c r="T133" i="2"/>
  <c r="U16" i="2"/>
  <c r="U87" i="2"/>
  <c r="U170" i="2"/>
  <c r="U209" i="2"/>
  <c r="U47" i="2"/>
  <c r="T81" i="2"/>
  <c r="T76" i="2"/>
  <c r="T134" i="2"/>
  <c r="T160" i="2"/>
  <c r="T198" i="2"/>
  <c r="T228" i="2"/>
  <c r="U23" i="2"/>
  <c r="U89" i="2"/>
  <c r="U77" i="2"/>
  <c r="T230" i="2"/>
  <c r="S69" i="2"/>
  <c r="S235" i="2"/>
  <c r="S198" i="2"/>
  <c r="S241" i="2"/>
  <c r="S139" i="2"/>
  <c r="U92" i="2"/>
  <c r="U83" i="2"/>
  <c r="U180" i="2"/>
  <c r="U213" i="2"/>
  <c r="S56" i="2"/>
  <c r="T99" i="2"/>
  <c r="T105" i="2"/>
  <c r="T141" i="2"/>
  <c r="T166" i="2"/>
  <c r="T205" i="2"/>
  <c r="T47" i="2"/>
  <c r="S72" i="2"/>
  <c r="S137" i="2"/>
  <c r="U11" i="2"/>
  <c r="T48" i="2"/>
  <c r="S87" i="2"/>
  <c r="S136" i="2"/>
  <c r="S182" i="2"/>
  <c r="T69" i="2"/>
  <c r="U189" i="2"/>
  <c r="U241" i="2"/>
  <c r="S66" i="2"/>
  <c r="S189" i="2"/>
  <c r="S232" i="2"/>
  <c r="U21" i="2"/>
  <c r="T23" i="2"/>
  <c r="U107" i="2"/>
  <c r="U139" i="2"/>
  <c r="U197" i="2"/>
  <c r="U245" i="2"/>
  <c r="T89" i="2"/>
  <c r="T119" i="2"/>
  <c r="T182" i="2"/>
  <c r="S108" i="2"/>
  <c r="S97" i="2"/>
  <c r="P42" i="2"/>
  <c r="V42" i="2" s="1"/>
  <c r="P55" i="2"/>
  <c r="V55" i="2" s="1"/>
  <c r="P61" i="2"/>
  <c r="V61" i="2" s="1"/>
  <c r="P36" i="2"/>
  <c r="V36" i="2" s="1"/>
  <c r="P71" i="2"/>
  <c r="V71" i="2" s="1"/>
  <c r="P136" i="2"/>
  <c r="V136" i="2" s="1"/>
  <c r="P169" i="2"/>
  <c r="V169" i="2" s="1"/>
  <c r="P157" i="2"/>
  <c r="V157" i="2" s="1"/>
  <c r="P135" i="2"/>
  <c r="V135" i="2" s="1"/>
  <c r="P108" i="2"/>
  <c r="V108" i="2" s="1"/>
  <c r="P160" i="2"/>
  <c r="V160" i="2" s="1"/>
  <c r="P154" i="2"/>
  <c r="V154" i="2" s="1"/>
  <c r="P249" i="2"/>
  <c r="V249" i="2" s="1"/>
  <c r="P189" i="2"/>
  <c r="V189" i="2" s="1"/>
  <c r="P47" i="2"/>
  <c r="V47" i="2" s="1"/>
  <c r="P34" i="2"/>
  <c r="V34" i="2" s="1"/>
  <c r="P194" i="2"/>
  <c r="V194" i="2" s="1"/>
  <c r="P51" i="2"/>
  <c r="V51" i="2" s="1"/>
  <c r="P251" i="2"/>
  <c r="V251" i="2" s="1"/>
  <c r="P122" i="2"/>
  <c r="V122" i="2" s="1"/>
  <c r="P12" i="2"/>
  <c r="V12" i="2" s="1"/>
  <c r="P131" i="2"/>
  <c r="V131" i="2" s="1"/>
  <c r="P41" i="2"/>
  <c r="V41" i="2" s="1"/>
  <c r="P52" i="2"/>
  <c r="V52" i="2" s="1"/>
  <c r="P90" i="2"/>
  <c r="V90" i="2" s="1"/>
  <c r="P187" i="2"/>
  <c r="V187" i="2" s="1"/>
  <c r="P153" i="2"/>
  <c r="V153" i="2" s="1"/>
  <c r="P197" i="2"/>
  <c r="V197" i="2" s="1"/>
  <c r="P133" i="2"/>
  <c r="V133" i="2" s="1"/>
  <c r="P229" i="2"/>
  <c r="V229" i="2" s="1"/>
  <c r="P15" i="2"/>
  <c r="V15" i="2" s="1"/>
  <c r="P211" i="2"/>
  <c r="V211" i="2" s="1"/>
  <c r="P219" i="2"/>
  <c r="V219" i="2" s="1"/>
  <c r="P82" i="2"/>
  <c r="V82" i="2" s="1"/>
  <c r="P43" i="2"/>
  <c r="V43" i="2" s="1"/>
  <c r="P54" i="2"/>
  <c r="V54" i="2" s="1"/>
  <c r="P158" i="2"/>
  <c r="V158" i="2" s="1"/>
  <c r="P253" i="2"/>
  <c r="V253" i="2" s="1"/>
  <c r="P248" i="2"/>
  <c r="V248" i="2" s="1"/>
  <c r="P35" i="2"/>
  <c r="V35" i="2" s="1"/>
  <c r="P150" i="2"/>
  <c r="V150" i="2" s="1"/>
  <c r="P127" i="2"/>
  <c r="V127" i="2" s="1"/>
  <c r="P28" i="2"/>
  <c r="V28" i="2" s="1"/>
  <c r="P116" i="2"/>
  <c r="V116" i="2" s="1"/>
  <c r="P146" i="2"/>
  <c r="V146" i="2" s="1"/>
  <c r="P50" i="2"/>
  <c r="V50" i="2" s="1"/>
  <c r="P215" i="2"/>
  <c r="V215" i="2" s="1"/>
  <c r="P100" i="2"/>
  <c r="V100" i="2" s="1"/>
  <c r="P137" i="2"/>
  <c r="V137" i="2" s="1"/>
  <c r="P72" i="2"/>
  <c r="V72" i="2" s="1"/>
  <c r="P9" i="2"/>
  <c r="V9" i="2" s="1"/>
  <c r="P144" i="2"/>
  <c r="V144" i="2" s="1"/>
  <c r="P96" i="2"/>
  <c r="V96" i="2" s="1"/>
  <c r="P182" i="2"/>
  <c r="V182" i="2" s="1"/>
  <c r="P77" i="2"/>
  <c r="V77" i="2" s="1"/>
  <c r="P25" i="2"/>
  <c r="V25" i="2" s="1"/>
  <c r="P240" i="2"/>
  <c r="V240" i="2" s="1"/>
  <c r="P241" i="2"/>
  <c r="V241" i="2" s="1"/>
  <c r="P121" i="2"/>
  <c r="V121" i="2" s="1"/>
  <c r="P8" i="2"/>
  <c r="V8" i="2" s="1"/>
  <c r="P10" i="2"/>
  <c r="V10" i="2" s="1"/>
  <c r="P114" i="2"/>
  <c r="V114" i="2" s="1"/>
  <c r="P162" i="2"/>
  <c r="V162" i="2" s="1"/>
  <c r="P238" i="2"/>
  <c r="V238" i="2" s="1"/>
  <c r="P239" i="2"/>
  <c r="V239" i="2" s="1"/>
  <c r="P85" i="2"/>
  <c r="V85" i="2" s="1"/>
  <c r="P118" i="2"/>
  <c r="V118" i="2" s="1"/>
  <c r="P113" i="2"/>
  <c r="V113" i="2" s="1"/>
  <c r="P13" i="2"/>
  <c r="V13" i="2" s="1"/>
  <c r="P80" i="2"/>
  <c r="V80" i="2" s="1"/>
  <c r="P92" i="2"/>
  <c r="V92" i="2" s="1"/>
  <c r="P142" i="2"/>
  <c r="V142" i="2" s="1"/>
  <c r="P210" i="2"/>
  <c r="V210" i="2" s="1"/>
  <c r="P48" i="2"/>
  <c r="V48" i="2" s="1"/>
  <c r="P222" i="2"/>
  <c r="V222" i="2" s="1"/>
  <c r="P84" i="2"/>
  <c r="V84" i="2" s="1"/>
  <c r="P235" i="2"/>
  <c r="V235" i="2" s="1"/>
  <c r="P58" i="2"/>
  <c r="V58" i="2" s="1"/>
  <c r="P21" i="2"/>
  <c r="V21" i="2" s="1"/>
  <c r="P75" i="2"/>
  <c r="V75" i="2" s="1"/>
  <c r="P233" i="2"/>
  <c r="V233" i="2" s="1"/>
  <c r="P195" i="2"/>
  <c r="V195" i="2" s="1"/>
  <c r="P18" i="2"/>
  <c r="V18" i="2" s="1"/>
  <c r="P20" i="2"/>
  <c r="V20" i="2" s="1"/>
  <c r="P247" i="2"/>
  <c r="V247" i="2" s="1"/>
  <c r="P97" i="2"/>
  <c r="V97" i="2" s="1"/>
  <c r="P188" i="2"/>
  <c r="V188" i="2" s="1"/>
  <c r="P17" i="2"/>
  <c r="V17" i="2" s="1"/>
  <c r="P227" i="2"/>
  <c r="V227" i="2" s="1"/>
  <c r="P26" i="2"/>
  <c r="V26" i="2" s="1"/>
  <c r="P191" i="2"/>
  <c r="V191" i="2" s="1"/>
  <c r="P109" i="2"/>
  <c r="V109" i="2" s="1"/>
  <c r="P62" i="2"/>
  <c r="V62" i="2" s="1"/>
  <c r="P66" i="2"/>
  <c r="V66" i="2" s="1"/>
  <c r="P155" i="2"/>
  <c r="V155" i="2" s="1"/>
  <c r="P226" i="2"/>
  <c r="V226" i="2" s="1"/>
  <c r="P183" i="2"/>
  <c r="V183" i="2" s="1"/>
  <c r="P232" i="2"/>
  <c r="V232" i="2" s="1"/>
  <c r="P30" i="2"/>
  <c r="V30" i="2" s="1"/>
  <c r="P102" i="2"/>
  <c r="V102" i="2" s="1"/>
  <c r="P199" i="2"/>
  <c r="V199" i="2" s="1"/>
  <c r="P40" i="2"/>
  <c r="V40" i="2" s="1"/>
  <c r="P148" i="2"/>
  <c r="V148" i="2" s="1"/>
  <c r="P44" i="2"/>
  <c r="V44" i="2" s="1"/>
  <c r="P236" i="2"/>
  <c r="V236" i="2" s="1"/>
  <c r="P178" i="2"/>
  <c r="V178" i="2" s="1"/>
  <c r="P139" i="2"/>
  <c r="V139" i="2" s="1"/>
  <c r="P60" i="2"/>
  <c r="V60" i="2" s="1"/>
  <c r="P205" i="2"/>
  <c r="V205" i="2" s="1"/>
  <c r="P53" i="2"/>
  <c r="V53" i="2" s="1"/>
  <c r="P164" i="2"/>
  <c r="V164" i="2" s="1"/>
  <c r="P3" i="2"/>
  <c r="V3" i="2" s="1"/>
  <c r="P115" i="2"/>
  <c r="V115" i="2" s="1"/>
  <c r="P161" i="2"/>
  <c r="V161" i="2" s="1"/>
  <c r="P110" i="2"/>
  <c r="V110" i="2" s="1"/>
  <c r="P95" i="2"/>
  <c r="V95" i="2" s="1"/>
  <c r="P126" i="2"/>
  <c r="V126" i="2" s="1"/>
  <c r="P24" i="2"/>
  <c r="V24" i="2" s="1"/>
  <c r="P252" i="2"/>
  <c r="V252" i="2" s="1"/>
  <c r="P166" i="2"/>
  <c r="V166" i="2" s="1"/>
  <c r="P31" i="2"/>
  <c r="V31" i="2" s="1"/>
  <c r="P33" i="2"/>
  <c r="V33" i="2" s="1"/>
  <c r="P64" i="2"/>
  <c r="V64" i="2" s="1"/>
  <c r="P89" i="2"/>
  <c r="V89" i="2" s="1"/>
  <c r="P163" i="2"/>
  <c r="V163" i="2" s="1"/>
  <c r="P177" i="2"/>
  <c r="V177" i="2" s="1"/>
  <c r="P68" i="2"/>
  <c r="V68" i="2" s="1"/>
  <c r="P123" i="2"/>
  <c r="V123" i="2" s="1"/>
  <c r="P81" i="2"/>
  <c r="V81" i="2" s="1"/>
  <c r="P223" i="2"/>
  <c r="V223" i="2" s="1"/>
  <c r="P130" i="2"/>
  <c r="V130" i="2" s="1"/>
  <c r="P22" i="2"/>
  <c r="V22" i="2" s="1"/>
  <c r="P98" i="2"/>
  <c r="V98" i="2" s="1"/>
  <c r="P59" i="2"/>
  <c r="V59" i="2" s="1"/>
  <c r="P6" i="2"/>
  <c r="V6" i="2" s="1"/>
  <c r="P152" i="2"/>
  <c r="V152" i="2" s="1"/>
  <c r="P106" i="2"/>
  <c r="V106" i="2" s="1"/>
  <c r="P63" i="2"/>
  <c r="V63" i="2" s="1"/>
  <c r="P193" i="2"/>
  <c r="V193" i="2" s="1"/>
  <c r="P101" i="2"/>
  <c r="V101" i="2" s="1"/>
  <c r="P181" i="2"/>
  <c r="V181" i="2" s="1"/>
  <c r="P159" i="2"/>
  <c r="V159" i="2" s="1"/>
  <c r="P192" i="2"/>
  <c r="V192" i="2" s="1"/>
  <c r="P111" i="2"/>
  <c r="V111" i="2" s="1"/>
  <c r="P86" i="2"/>
  <c r="V86" i="2" s="1"/>
  <c r="P147" i="2"/>
  <c r="V147" i="2" s="1"/>
  <c r="P216" i="2"/>
  <c r="V216" i="2" s="1"/>
  <c r="P112" i="2"/>
  <c r="V112" i="2" s="1"/>
  <c r="P237" i="2"/>
  <c r="V237" i="2" s="1"/>
  <c r="P203" i="2"/>
  <c r="V203" i="2" s="1"/>
  <c r="P149" i="2"/>
  <c r="V149" i="2" s="1"/>
  <c r="P171" i="2"/>
  <c r="V171" i="2" s="1"/>
  <c r="P245" i="2"/>
  <c r="V245" i="2" s="1"/>
  <c r="P57" i="2"/>
  <c r="V57" i="2" s="1"/>
  <c r="P125" i="2"/>
  <c r="V125" i="2" s="1"/>
  <c r="P156" i="2"/>
  <c r="V156" i="2" s="1"/>
  <c r="P56" i="2"/>
  <c r="V56" i="2" s="1"/>
  <c r="P124" i="2"/>
  <c r="V124" i="2" s="1"/>
  <c r="P70" i="2"/>
  <c r="V70" i="2" s="1"/>
  <c r="P202" i="2"/>
  <c r="V202" i="2" s="1"/>
  <c r="P172" i="2"/>
  <c r="V172" i="2" s="1"/>
  <c r="P39" i="2"/>
  <c r="V39" i="2" s="1"/>
  <c r="P37" i="2"/>
  <c r="V37" i="2" s="1"/>
  <c r="P246" i="2"/>
  <c r="V246" i="2" s="1"/>
  <c r="P32" i="2"/>
  <c r="V32" i="2" s="1"/>
  <c r="P78" i="2"/>
  <c r="V78" i="2" s="1"/>
  <c r="P244" i="2"/>
  <c r="V244" i="2" s="1"/>
  <c r="P165" i="2"/>
  <c r="V165" i="2" s="1"/>
  <c r="P208" i="2"/>
  <c r="V208" i="2" s="1"/>
  <c r="P74" i="2"/>
  <c r="V74" i="2" s="1"/>
  <c r="P119" i="2"/>
  <c r="V119" i="2" s="1"/>
  <c r="P104" i="2"/>
  <c r="V104" i="2" s="1"/>
  <c r="P173" i="2"/>
  <c r="V173" i="2" s="1"/>
  <c r="P45" i="2"/>
  <c r="V45" i="2" s="1"/>
  <c r="P23" i="2"/>
  <c r="V23" i="2" s="1"/>
  <c r="P212" i="2"/>
  <c r="V212" i="2" s="1"/>
  <c r="P69" i="2"/>
  <c r="V69" i="2" s="1"/>
  <c r="P213" i="2"/>
  <c r="V213" i="2" s="1"/>
  <c r="P16" i="2"/>
  <c r="V16" i="2" s="1"/>
  <c r="P7" i="2"/>
  <c r="V7" i="2" s="1"/>
  <c r="P186" i="2"/>
  <c r="V186" i="2" s="1"/>
  <c r="P234" i="2"/>
  <c r="V234" i="2" s="1"/>
  <c r="P65" i="2"/>
  <c r="V65" i="2" s="1"/>
  <c r="P134" i="2"/>
  <c r="V134" i="2" s="1"/>
  <c r="P91" i="2"/>
  <c r="V91" i="2" s="1"/>
  <c r="P129" i="2"/>
  <c r="V129" i="2" s="1"/>
  <c r="P151" i="2"/>
  <c r="V151" i="2" s="1"/>
  <c r="P107" i="2"/>
  <c r="V107" i="2" s="1"/>
  <c r="P231" i="2"/>
  <c r="V231" i="2" s="1"/>
  <c r="P105" i="2"/>
  <c r="V105" i="2" s="1"/>
  <c r="P4" i="2"/>
  <c r="V4" i="2" s="1"/>
  <c r="P73" i="2"/>
  <c r="V73" i="2" s="1"/>
  <c r="P29" i="2"/>
  <c r="V29" i="2" s="1"/>
  <c r="P27" i="2"/>
  <c r="V27" i="2" s="1"/>
  <c r="P117" i="2"/>
  <c r="V117" i="2" s="1"/>
  <c r="P228" i="2"/>
  <c r="V228" i="2" s="1"/>
  <c r="P145" i="2"/>
  <c r="V145" i="2" s="1"/>
  <c r="P174" i="2"/>
  <c r="V174" i="2" s="1"/>
  <c r="P180" i="2"/>
  <c r="V180" i="2" s="1"/>
  <c r="P218" i="2"/>
  <c r="V218" i="2" s="1"/>
  <c r="P93" i="2"/>
  <c r="V93" i="2" s="1"/>
  <c r="P206" i="2"/>
  <c r="V206" i="2" s="1"/>
  <c r="P38" i="2"/>
  <c r="V38" i="2" s="1"/>
  <c r="P138" i="2"/>
  <c r="V138" i="2" s="1"/>
  <c r="P128" i="2"/>
  <c r="V128" i="2" s="1"/>
  <c r="P49" i="2"/>
  <c r="V49" i="2" s="1"/>
  <c r="P207" i="2"/>
  <c r="V207" i="2" s="1"/>
  <c r="P143" i="2"/>
  <c r="V143" i="2" s="1"/>
  <c r="P14" i="2"/>
  <c r="V14" i="2" s="1"/>
  <c r="P250" i="2"/>
  <c r="V250" i="2" s="1"/>
  <c r="P196" i="2"/>
  <c r="V196" i="2" s="1"/>
  <c r="P120" i="2"/>
  <c r="V120" i="2" s="1"/>
  <c r="P67" i="2"/>
  <c r="V67" i="2" s="1"/>
  <c r="P230" i="2"/>
  <c r="V230" i="2" s="1"/>
  <c r="P76" i="2"/>
  <c r="V76" i="2" s="1"/>
  <c r="P209" i="2"/>
  <c r="V209" i="2" s="1"/>
  <c r="P5" i="2"/>
  <c r="V5" i="2" s="1"/>
  <c r="P94" i="2"/>
  <c r="V94" i="2" s="1"/>
  <c r="P214" i="2"/>
  <c r="V214" i="2" s="1"/>
  <c r="P224" i="2"/>
  <c r="V224" i="2" s="1"/>
  <c r="P190" i="2"/>
  <c r="V190" i="2" s="1"/>
  <c r="P170" i="2"/>
  <c r="V170" i="2" s="1"/>
  <c r="P176" i="2"/>
  <c r="V176" i="2" s="1"/>
  <c r="P87" i="2"/>
  <c r="V87" i="2" s="1"/>
  <c r="P221" i="2"/>
  <c r="V221" i="2" s="1"/>
  <c r="P11" i="2"/>
  <c r="V11" i="2" s="1"/>
  <c r="P225" i="2"/>
  <c r="V225" i="2" s="1"/>
  <c r="P79" i="2"/>
  <c r="V79" i="2" s="1"/>
  <c r="P243" i="2"/>
  <c r="V243" i="2" s="1"/>
  <c r="P99" i="2"/>
  <c r="V99" i="2" s="1"/>
  <c r="P167" i="2"/>
  <c r="V167" i="2" s="1"/>
  <c r="P220" i="2"/>
  <c r="V220" i="2" s="1"/>
  <c r="P19" i="2"/>
  <c r="V19" i="2" s="1"/>
  <c r="P132" i="2"/>
  <c r="V132" i="2" s="1"/>
  <c r="P242" i="2"/>
  <c r="V242" i="2" s="1"/>
  <c r="P198" i="2"/>
  <c r="V198" i="2" s="1"/>
  <c r="P175" i="2"/>
  <c r="V175" i="2" s="1"/>
  <c r="P179" i="2"/>
  <c r="V179" i="2" s="1"/>
  <c r="P185" i="2"/>
  <c r="V185" i="2" s="1"/>
  <c r="P200" i="2"/>
  <c r="V200" i="2" s="1"/>
  <c r="P184" i="2"/>
  <c r="V184" i="2" s="1"/>
  <c r="P204" i="2"/>
  <c r="V204" i="2" s="1"/>
  <c r="P103" i="2"/>
  <c r="V103" i="2" s="1"/>
  <c r="P141" i="2"/>
  <c r="V141" i="2" s="1"/>
  <c r="P201" i="2"/>
  <c r="V201" i="2" s="1"/>
  <c r="P46" i="2"/>
  <c r="V46" i="2" s="1"/>
  <c r="P140" i="2"/>
  <c r="V140" i="2" s="1"/>
  <c r="P168" i="2"/>
  <c r="V168" i="2" s="1"/>
  <c r="P83" i="2"/>
  <c r="V83" i="2" s="1"/>
  <c r="P217" i="2"/>
  <c r="V217" i="2" s="1"/>
  <c r="U19" i="2"/>
  <c r="T19" i="2"/>
  <c r="S19" i="2"/>
  <c r="T33" i="2"/>
  <c r="S33" i="2"/>
  <c r="U33" i="2"/>
  <c r="T35" i="2"/>
  <c r="S35" i="2"/>
  <c r="U35" i="2"/>
  <c r="S59" i="2"/>
  <c r="T59" i="2"/>
  <c r="U59" i="2"/>
  <c r="S30" i="2"/>
  <c r="U30" i="2"/>
  <c r="T30" i="2"/>
  <c r="S240" i="2"/>
  <c r="U240" i="2"/>
  <c r="T240" i="2"/>
  <c r="U244" i="2"/>
  <c r="S244" i="2"/>
  <c r="T244" i="2"/>
  <c r="T229" i="2"/>
  <c r="S229" i="2"/>
  <c r="U229" i="2"/>
  <c r="T127" i="2"/>
  <c r="S127" i="2"/>
  <c r="U127" i="2"/>
  <c r="T192" i="2"/>
  <c r="S192" i="2"/>
  <c r="U192" i="2"/>
  <c r="S142" i="2"/>
  <c r="T142" i="2"/>
  <c r="U142" i="2"/>
  <c r="T249" i="2"/>
  <c r="S249" i="2"/>
  <c r="U249" i="2"/>
  <c r="T251" i="2"/>
  <c r="S251" i="2"/>
  <c r="U251" i="2"/>
  <c r="S237" i="2"/>
  <c r="U237" i="2"/>
  <c r="T237" i="2"/>
  <c r="U94" i="2"/>
  <c r="S94" i="2"/>
  <c r="T94" i="2"/>
  <c r="S68" i="2"/>
  <c r="U68" i="2"/>
  <c r="T68" i="2"/>
  <c r="U46" i="2"/>
  <c r="T46" i="2"/>
  <c r="S46" i="2"/>
  <c r="U51" i="2"/>
  <c r="T51" i="2"/>
  <c r="S51" i="2"/>
  <c r="U203" i="2"/>
  <c r="S203" i="2"/>
  <c r="T203" i="2"/>
  <c r="U169" i="2"/>
  <c r="S169" i="2"/>
  <c r="T169" i="2"/>
  <c r="T112" i="2"/>
  <c r="U112" i="2"/>
  <c r="S112" i="2"/>
  <c r="T176" i="2"/>
  <c r="S176" i="2"/>
  <c r="U176" i="2"/>
  <c r="T114" i="2"/>
  <c r="U114" i="2"/>
  <c r="S114" i="2"/>
  <c r="U243" i="2"/>
  <c r="T243" i="2"/>
  <c r="S243" i="2"/>
  <c r="U116" i="2"/>
  <c r="S116" i="2"/>
  <c r="T116" i="2"/>
  <c r="U118" i="2"/>
  <c r="T118" i="2"/>
  <c r="S118" i="2"/>
  <c r="U253" i="2"/>
  <c r="S253" i="2"/>
  <c r="T253" i="2"/>
  <c r="S84" i="2"/>
  <c r="U84" i="2"/>
  <c r="T84" i="2"/>
  <c r="T57" i="2"/>
  <c r="U57" i="2"/>
  <c r="S57" i="2"/>
  <c r="U53" i="2"/>
  <c r="T53" i="2"/>
  <c r="S53" i="2"/>
  <c r="T37" i="2"/>
  <c r="U37" i="2"/>
  <c r="S37" i="2"/>
  <c r="T78" i="2"/>
  <c r="S78" i="2"/>
  <c r="U78" i="2"/>
  <c r="U43" i="2"/>
  <c r="S43" i="2"/>
  <c r="T43" i="2"/>
  <c r="U204" i="2"/>
  <c r="S204" i="2"/>
  <c r="T204" i="2"/>
  <c r="S186" i="2"/>
  <c r="T186" i="2"/>
  <c r="U186" i="2"/>
  <c r="T128" i="2"/>
  <c r="U128" i="2"/>
  <c r="S128" i="2"/>
  <c r="T129" i="2"/>
  <c r="U129" i="2"/>
  <c r="S129" i="2"/>
  <c r="T147" i="2"/>
  <c r="U147" i="2"/>
  <c r="S147" i="2"/>
  <c r="T175" i="2"/>
  <c r="U175" i="2"/>
  <c r="S175" i="2"/>
  <c r="U149" i="2"/>
  <c r="S149" i="2"/>
  <c r="T149" i="2"/>
  <c r="U135" i="2"/>
  <c r="T135" i="2"/>
  <c r="S135" i="2"/>
  <c r="T22" i="2"/>
  <c r="S22" i="2"/>
  <c r="U22" i="2"/>
  <c r="T3" i="2"/>
  <c r="S3" i="2"/>
  <c r="U3" i="2"/>
  <c r="U9" i="2"/>
  <c r="T9" i="2"/>
  <c r="S9" i="2"/>
  <c r="S217" i="2"/>
  <c r="U217" i="2"/>
  <c r="T217" i="2"/>
  <c r="T6" i="2"/>
  <c r="U6" i="2"/>
  <c r="S6" i="2"/>
  <c r="T218" i="2"/>
  <c r="S218" i="2"/>
  <c r="U218" i="2"/>
  <c r="U7" i="2"/>
  <c r="T7" i="2"/>
  <c r="S7" i="2"/>
  <c r="T27" i="2"/>
  <c r="T183" i="2"/>
  <c r="T100" i="2"/>
  <c r="T152" i="2"/>
  <c r="T168" i="2"/>
  <c r="T184" i="2"/>
  <c r="T201" i="2"/>
  <c r="S107" i="2"/>
  <c r="T199" i="2"/>
  <c r="U172" i="2"/>
  <c r="U190" i="2"/>
  <c r="U108" i="2"/>
  <c r="U126" i="2"/>
  <c r="U171" i="2"/>
  <c r="T97" i="2"/>
  <c r="U8" i="2"/>
  <c r="U109" i="2"/>
  <c r="U174" i="2"/>
  <c r="T170" i="2"/>
  <c r="T171" i="2"/>
  <c r="U162" i="2"/>
  <c r="U199" i="2"/>
  <c r="S100" i="2"/>
  <c r="T54" i="2"/>
  <c r="T172" i="2"/>
  <c r="T188" i="2"/>
  <c r="T226" i="2"/>
  <c r="U131" i="2"/>
  <c r="U177" i="2"/>
  <c r="T73" i="2"/>
  <c r="T92" i="2"/>
  <c r="T206" i="2"/>
  <c r="T18" i="2"/>
  <c r="U38" i="2"/>
  <c r="U113" i="2"/>
  <c r="U161" i="2"/>
  <c r="U178" i="2"/>
  <c r="T66" i="2"/>
  <c r="T109" i="2"/>
  <c r="T125" i="2"/>
  <c r="T174" i="2"/>
  <c r="T190" i="2"/>
  <c r="U41" i="2"/>
  <c r="U188" i="2"/>
  <c r="U56" i="2"/>
  <c r="U214" i="2"/>
  <c r="T72" i="2"/>
  <c r="T191" i="2"/>
  <c r="S27" i="2"/>
  <c r="U191" i="2"/>
  <c r="U148" i="2"/>
  <c r="U61" i="2"/>
  <c r="U95" i="2"/>
  <c r="U164" i="2"/>
  <c r="T177" i="2"/>
  <c r="U219" i="2"/>
  <c r="T113" i="2"/>
  <c r="T178" i="2"/>
  <c r="T219" i="2"/>
  <c r="U18" i="2"/>
  <c r="U183" i="2"/>
  <c r="U206" i="2"/>
  <c r="T61" i="2"/>
  <c r="U184" i="2"/>
  <c r="T131" i="2"/>
  <c r="T164" i="2"/>
  <c r="B11" i="3" l="1"/>
  <c r="C13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<sst xmlns="http://schemas.openxmlformats.org/spreadsheetml/2006/main" count="1560" uniqueCount="575">
  <si>
    <t>Il questionario può essere liberamente utilizzato nel rispetto dei limiti posti dalla licenza Creative Commons CC BY-SA (https://creativecommons.org/licenses/by-sa/4.0/deed.it). Questa licenza permette a chiunque di usare questo prodotto per crearne una sua evoluzione a condizione che citi gli autori originali riportando la nostra URL http://www.clusit.it e utilizzi a sua volta lo stesso tipo di licenza:</t>
  </si>
  <si>
    <t>SEZIONE</t>
  </si>
  <si>
    <t>CODICE</t>
  </si>
  <si>
    <t>DOMANDA</t>
  </si>
  <si>
    <t>SOTTOINSIEME DOMANDE APPLICABILE A:</t>
  </si>
  <si>
    <t>RIFERIMENTI</t>
  </si>
  <si>
    <t>Peso Domanda</t>
  </si>
  <si>
    <t>Range Risposta</t>
  </si>
  <si>
    <t>Valore Risposta</t>
  </si>
  <si>
    <t>Valore Risposta Pesato</t>
  </si>
  <si>
    <t>Valore Risposta Pesato anche con il peso della domanda</t>
  </si>
  <si>
    <t>Utilizzato per parametrizzare la convalida delle risposte in colonna P</t>
  </si>
  <si>
    <t>NOTE / REMEDIATION / AZIONI IN CORSO</t>
  </si>
  <si>
    <t>Servizi ICT</t>
  </si>
  <si>
    <t>Prodotti ICT (SW/HW)</t>
  </si>
  <si>
    <t>ISO/IEC
 27001</t>
  </si>
  <si>
    <t>GESTIONE DELLA SICUREZZA</t>
  </si>
  <si>
    <t>GSI.01</t>
  </si>
  <si>
    <t>✔</t>
  </si>
  <si>
    <t>5.2</t>
  </si>
  <si>
    <t>ID.GV-1</t>
  </si>
  <si>
    <t>Range_1</t>
  </si>
  <si>
    <t>Sì</t>
  </si>
  <si>
    <t>Range_2</t>
  </si>
  <si>
    <t>No</t>
  </si>
  <si>
    <t>Parziale</t>
  </si>
  <si>
    <t>GSI.02</t>
  </si>
  <si>
    <t>A.5.1</t>
  </si>
  <si>
    <t>PR.AC-2</t>
  </si>
  <si>
    <t>PR.AC-1</t>
  </si>
  <si>
    <t>PR.IP-1</t>
  </si>
  <si>
    <t>PR.IP-2</t>
  </si>
  <si>
    <t>ID.AM-5</t>
  </si>
  <si>
    <t>PR.PT-1</t>
  </si>
  <si>
    <t>DP-ID.DM-1</t>
  </si>
  <si>
    <t>ID.SC-1</t>
  </si>
  <si>
    <t>GSI.03</t>
  </si>
  <si>
    <t>A.5.30</t>
  </si>
  <si>
    <t>PR.IP-9
PR.IP-10
RC.RP-1
RC.IM-1
RC.IM-2</t>
  </si>
  <si>
    <t>GSI.04</t>
  </si>
  <si>
    <t>PR.IP-4</t>
  </si>
  <si>
    <t>PR.DS-4</t>
  </si>
  <si>
    <t>PR.PT-5</t>
  </si>
  <si>
    <t>PR.IP-9</t>
  </si>
  <si>
    <t>GSI.05</t>
  </si>
  <si>
    <t>A.5.2</t>
  </si>
  <si>
    <t>GSI.06</t>
  </si>
  <si>
    <t>-</t>
  </si>
  <si>
    <t>DP-ID.AM-7</t>
  </si>
  <si>
    <t>GSI.07</t>
  </si>
  <si>
    <t>7.3
A.6.3</t>
  </si>
  <si>
    <t>PR.AT-1</t>
  </si>
  <si>
    <t>PR.AT-2</t>
  </si>
  <si>
    <t>PR.AT-3</t>
  </si>
  <si>
    <t>GSI.08</t>
  </si>
  <si>
    <t>A.5.9</t>
  </si>
  <si>
    <t>ID.AM-4</t>
  </si>
  <si>
    <t>ID.AM-3
DP-ID.AM-8</t>
  </si>
  <si>
    <t>GSI.09</t>
  </si>
  <si>
    <t>A.5.20</t>
  </si>
  <si>
    <t>ID.SC-3</t>
  </si>
  <si>
    <t>GSI.10</t>
  </si>
  <si>
    <t>6.1.2</t>
  </si>
  <si>
    <t>ID.GV-4</t>
  </si>
  <si>
    <t>ID.RM-1
ID.RM-2</t>
  </si>
  <si>
    <t>ID.RA-1
ID.RA-3
ID.RA-4
ID.RA-5</t>
  </si>
  <si>
    <t>GSI.11</t>
  </si>
  <si>
    <t>9.2
A.5.35</t>
  </si>
  <si>
    <t>PR.IP-7</t>
  </si>
  <si>
    <t>PR.IP-8</t>
  </si>
  <si>
    <t>GSI.12</t>
  </si>
  <si>
    <t>A.8.25</t>
  </si>
  <si>
    <t>PR.DS-7</t>
  </si>
  <si>
    <t>GSI.13</t>
  </si>
  <si>
    <t>7.1</t>
  </si>
  <si>
    <t>GSI.14</t>
  </si>
  <si>
    <t>A.5.23</t>
  </si>
  <si>
    <t>GSI.15</t>
  </si>
  <si>
    <t>A.6.1</t>
  </si>
  <si>
    <t>PR.IP-11</t>
  </si>
  <si>
    <t>GSI.16</t>
  </si>
  <si>
    <t>SICUREZZA IT</t>
  </si>
  <si>
    <t>SIT.01</t>
  </si>
  <si>
    <t>A.8.20</t>
  </si>
  <si>
    <t>PR.PT-4</t>
  </si>
  <si>
    <t>SIT.02</t>
  </si>
  <si>
    <t>A.8.22</t>
  </si>
  <si>
    <t>SIT.03</t>
  </si>
  <si>
    <t>A.8.13</t>
  </si>
  <si>
    <t>SIT.04</t>
  </si>
  <si>
    <t xml:space="preserve">
A.5.16</t>
  </si>
  <si>
    <t>PR.AC-4</t>
  </si>
  <si>
    <t>PR.AC-6</t>
  </si>
  <si>
    <t>A.5.17</t>
  </si>
  <si>
    <t>PR.AC-7</t>
  </si>
  <si>
    <t>SIT.05</t>
  </si>
  <si>
    <t>A.8.2</t>
  </si>
  <si>
    <t>SIT.06</t>
  </si>
  <si>
    <t>A.6.7</t>
  </si>
  <si>
    <t>PR.AC-3</t>
  </si>
  <si>
    <t>SIT.07</t>
  </si>
  <si>
    <t>A.5.18</t>
  </si>
  <si>
    <t>SIT.08</t>
  </si>
  <si>
    <t>A.8.8</t>
  </si>
  <si>
    <t>RS.MI-3
PR.IP-12</t>
  </si>
  <si>
    <t>ID.RA-1</t>
  </si>
  <si>
    <t>SIT.09</t>
  </si>
  <si>
    <t>A.8.8
A.8.16</t>
  </si>
  <si>
    <t>PR.IP-12
DE.CM-8</t>
  </si>
  <si>
    <t>SIT.10</t>
  </si>
  <si>
    <t>PR.IP-12</t>
  </si>
  <si>
    <t>SIT.11</t>
  </si>
  <si>
    <t>A.8.15</t>
  </si>
  <si>
    <t>SIT.12</t>
  </si>
  <si>
    <t>A.8.24</t>
  </si>
  <si>
    <t>PR.DS-1</t>
  </si>
  <si>
    <t>A.5.3</t>
  </si>
  <si>
    <t>PR.DS-5</t>
  </si>
  <si>
    <t>A.8.21</t>
  </si>
  <si>
    <t>A.8.3</t>
  </si>
  <si>
    <t>SIT.13</t>
  </si>
  <si>
    <t>A.8.20
A.8.21</t>
  </si>
  <si>
    <t>PR.DS-2</t>
  </si>
  <si>
    <t>SIT.14</t>
  </si>
  <si>
    <t>A.8.1</t>
  </si>
  <si>
    <t>SIT.15</t>
  </si>
  <si>
    <t>A.8.7</t>
  </si>
  <si>
    <t>DE.CM-4
DE.CM-5</t>
  </si>
  <si>
    <t>SIT.16</t>
  </si>
  <si>
    <t>A.8.12</t>
  </si>
  <si>
    <t>A.8.16</t>
  </si>
  <si>
    <t>DE.CM-1</t>
  </si>
  <si>
    <t>A.8.23</t>
  </si>
  <si>
    <t>PR.DS-6</t>
  </si>
  <si>
    <t>A.5.14</t>
  </si>
  <si>
    <t>SIT.17</t>
  </si>
  <si>
    <t>SIT.18</t>
  </si>
  <si>
    <t>A.5.24
A.5.25
A.5.26
A.5.27</t>
  </si>
  <si>
    <t>RS.CO-2
RS.AN-4</t>
  </si>
  <si>
    <t>RS.CO-3
RS.CO-5</t>
  </si>
  <si>
    <t>RS.IM-1
RS.IM-2</t>
  </si>
  <si>
    <t>RS.AN-3</t>
  </si>
  <si>
    <t>SIT.19</t>
  </si>
  <si>
    <t>A.5.26</t>
  </si>
  <si>
    <t>DP-RS.CO-6</t>
  </si>
  <si>
    <t>SIT.20</t>
  </si>
  <si>
    <t>A.8.10</t>
  </si>
  <si>
    <t>PR.DS-3
PR.IP-6</t>
  </si>
  <si>
    <t>SIT.21</t>
  </si>
  <si>
    <t>A.5.33</t>
  </si>
  <si>
    <t>SIT.22</t>
  </si>
  <si>
    <t>A.8.32</t>
  </si>
  <si>
    <t>PR.IP-3</t>
  </si>
  <si>
    <t>SIT.23</t>
  </si>
  <si>
    <t>A.8.9</t>
  </si>
  <si>
    <t>PR.PT-3</t>
  </si>
  <si>
    <t>SIT.24</t>
  </si>
  <si>
    <t>A.8.6
A.8.16</t>
  </si>
  <si>
    <t>SIT.25</t>
  </si>
  <si>
    <t>SICUREZZA FISICA</t>
  </si>
  <si>
    <t>SFA.01</t>
  </si>
  <si>
    <t>A.7.4</t>
  </si>
  <si>
    <t>A.7.2</t>
  </si>
  <si>
    <t>SFA.02</t>
  </si>
  <si>
    <t>DE.CM-2</t>
  </si>
  <si>
    <t>SFA.03</t>
  </si>
  <si>
    <t>A.7.5</t>
  </si>
  <si>
    <t>PR.IP-5</t>
  </si>
  <si>
    <t>PR.MA-1</t>
  </si>
  <si>
    <t>SFA.04</t>
  </si>
  <si>
    <t>A.7.11</t>
  </si>
  <si>
    <t>SFA.05</t>
  </si>
  <si>
    <t>SFA.06</t>
  </si>
  <si>
    <t>Risultati</t>
  </si>
  <si>
    <t>Range_validi</t>
  </si>
  <si>
    <t>NOTA: tutte le formule sono state parametrizzate su 4096 righe, per evitare di avere fogli con righe e colonne infinite …</t>
  </si>
  <si>
    <t>risposta</t>
  </si>
  <si>
    <t>valore</t>
  </si>
  <si>
    <t>TEMA</t>
  </si>
  <si>
    <t>Politica di alto livello che tratta la cybersecurity / sicurezza delle informazioni / sicurezza informatica</t>
  </si>
  <si>
    <t>E' inclusiva di obiettivi e principi?</t>
  </si>
  <si>
    <t>E' approvata dall'alta direzione</t>
  </si>
  <si>
    <t>Viene resa disponibile a tutti i soggetti interni ed esterni rilevanti?</t>
  </si>
  <si>
    <t>Viene aggiornata almeno annualmente?</t>
  </si>
  <si>
    <t>E' formalizzata in un documento?</t>
  </si>
  <si>
    <t>Peso Tema</t>
  </si>
  <si>
    <t>Politiche e procedure verticali collegate alla politica di alto livello</t>
  </si>
  <si>
    <t>La gestione degli incidenti è indirizzata?</t>
  </si>
  <si>
    <t>Il controllo degli accessi fisici è indirizzato?</t>
  </si>
  <si>
    <t>Il controllo degli accessi logici è indirizzato?</t>
  </si>
  <si>
    <t>L'uso accettabile delle risorse IT è indirizzato?</t>
  </si>
  <si>
    <t>La gestione degli aggiornamenti è indirizzata?</t>
  </si>
  <si>
    <t>La gestione dei cambiamenti è indirizzata?</t>
  </si>
  <si>
    <t>Lo sviluppo sicuro del software è indirizzato?</t>
  </si>
  <si>
    <t>La classificazione delle informazioni è indirizzata?</t>
  </si>
  <si>
    <t>La gestione dei log è indirizzata?</t>
  </si>
  <si>
    <t>La gestione dei fornitori è indirizzata?</t>
  </si>
  <si>
    <t>La gestione del ciclo di vita dei sistemi è indirizzata?</t>
  </si>
  <si>
    <t>Il ciclo di vita dei dati è indirizzato?</t>
  </si>
  <si>
    <t>Viene testato con periodicità almeno annuale?</t>
  </si>
  <si>
    <t>Include la parte IT con una Business Impact Analysis ad esso relativa?</t>
  </si>
  <si>
    <t>Prevede un piano di disaster recovery per i servizi critici?</t>
  </si>
  <si>
    <t>E' mantenuto aggiornato almeno annualmente?</t>
  </si>
  <si>
    <t>Piano per la gestione della continuità operativa</t>
  </si>
  <si>
    <t>Continuità operativa dei sistemi ICT</t>
  </si>
  <si>
    <t>E' assicurata tramite il mantenimento di una terza copia di backup dei dati in un sito remoto?</t>
  </si>
  <si>
    <t>E' assicurata tramite l'allocazione di risorse dimensionate in modo da garantire sempre la disponibilità?</t>
  </si>
  <si>
    <t>E' assicurata tramite la ridondanza locale di tutti i sistemi critici adottando soluzioni ad alta affidabilità?</t>
  </si>
  <si>
    <t>E' assicurata tramite la ridondanza geografica di tutti i sistemi critici in un sito remoto situato a più di 50 km dal sito primario?</t>
  </si>
  <si>
    <t>Sono documentate e mantenute aggiornate?</t>
  </si>
  <si>
    <t>Sono assegnate ad un Responsabile della Sicurezza delle Informazioni / Cybersecurity o CISO che riporta al responsabile IT o superiore?</t>
  </si>
  <si>
    <t>Sono assegnate a chi gestisce dei sistemi informativi per garantirne la protezione?</t>
  </si>
  <si>
    <t xml:space="preserve">Responsabilità in merito alla cybersecurity / sicurezza delle informazioni / sicurezza informatica </t>
  </si>
  <si>
    <t>Sono assegnate a tutto il personale affinché le informazioni e i sistemi informativi siano utilizzati correttamente?</t>
  </si>
  <si>
    <t>Sono assegnate alle terze parti che hanno un ruolo nella protezione delle informazioni?</t>
  </si>
  <si>
    <t>Sono assegnate a chi deve intraprendere azioni specifiche in caso di emergenza o incidente?</t>
  </si>
  <si>
    <t>Responsabilità in merito alla protezione dei dati personali</t>
  </si>
  <si>
    <t>Sono assegnate ad un Privacy Officer/Manager o equivalente?</t>
  </si>
  <si>
    <t>Sono supportate dalla presenza di un Data Protection Officer?</t>
  </si>
  <si>
    <t>Sono assegnate ai Dirigenti delle aree in cui sono trattati dati personali?</t>
  </si>
  <si>
    <t>Sono assegnate alle terze parti che agiscono in qualità di Responsabili?</t>
  </si>
  <si>
    <t>Azioni di formazione e consapevolezza</t>
  </si>
  <si>
    <t>Vengono effettuati con cadenza almeno annuale interventi formativi e di aggiornamento orientati ad aumentare la preparazione del personale sul tema della sicurezza delle informazioni a tutto il personale addetto all'ICT (es. programmatori e amministratori di sistema)?</t>
  </si>
  <si>
    <t>Sono stati effettuati interventi formativi o campagne di consapevolezza orientati ad aumentare la preparazione del personale sul tema della sicurezza delle informazioni al top management?</t>
  </si>
  <si>
    <t>Vengono effettuati con cadenza almeno annuale interventi formativi o campagne di consapevolezza orientati ad aumentare la preparazione del personale sul tema della sicurezza delle informazioni a tutto il personale che le tratta?</t>
  </si>
  <si>
    <t>Le terze parti rilevanti sono coinvolte negli interventi formativi o nelle campagne di consapevolezza?</t>
  </si>
  <si>
    <t>Vengono effettuati interventi formativi orientati ad aumentare la preparazione del personale sul tema della sicurezza delle informazioni al momento dell’assunzione?</t>
  </si>
  <si>
    <t>Inventari dei beni aziendali utilizzati per il trattamento delle informazioni</t>
  </si>
  <si>
    <t>Includono i servizi fruiti e forniti?</t>
  </si>
  <si>
    <t>Includono i dati trattati?</t>
  </si>
  <si>
    <t>Includono i responsabili di tali beni?</t>
  </si>
  <si>
    <t>ID.AM-1</t>
  </si>
  <si>
    <t>ID.AM-2</t>
  </si>
  <si>
    <t>Includono tutte le componenti hardware utilizzate?</t>
  </si>
  <si>
    <t>Includono tutto il software utilizzato?</t>
  </si>
  <si>
    <t>Sono aggiornati rispetto ad ogni modifica e verificati almeno annualmente?</t>
  </si>
  <si>
    <t>Contratti stipulati con le terze parti</t>
  </si>
  <si>
    <t>Sono contemplate clausole di sicurezza standard che vengono adattate a ogni contratto sviluppate tenendo in considerazione i requisiti dei propri Clienti?</t>
  </si>
  <si>
    <t>Sono contemplate clausole che richiedono la propagazione dei vincoli di sicurezza lungo tutta la filiera di fornitura?</t>
  </si>
  <si>
    <t>Sono contemplate clausole sulla non divulgazione delle informazioni?</t>
  </si>
  <si>
    <t>Sono contemplate clausole sulle misure di sicurezza da osservare?</t>
  </si>
  <si>
    <t>Sono contemplate clausole sulla gestione della continuità operativa?</t>
  </si>
  <si>
    <t>Il rischio relativo alla cybersecurity / sicurezza delle informazioni</t>
  </si>
  <si>
    <t>Viene valutato periodicamente, con cadenza almeno annuale?</t>
  </si>
  <si>
    <t>Viene valutato con l’ausilio di strumenti software dedicati che vanno oltre i fogli di calcolo?</t>
  </si>
  <si>
    <t>Viene valutato tramite un processo formale e documentato che prevede l'individuazione di un rischio accettabile?</t>
  </si>
  <si>
    <t>Viene aggiornato in caso di cambiamenti significativi?</t>
  </si>
  <si>
    <t>Viene valutato identificando e documentando minacce/scenari, vulnerabilità e impatti?</t>
  </si>
  <si>
    <t>Verifica del livello di conformità della gestione della cybersecurity / sicurezza delle informazioni / sicurezza informatica</t>
  </si>
  <si>
    <t>Viene svolta sulla base di un programma formalizzato?</t>
  </si>
  <si>
    <t>Viene svolta da un soggetto indipendente, interno o esterno?</t>
  </si>
  <si>
    <t>Viene svolta con periodicità almeno annuale?</t>
  </si>
  <si>
    <t>Viene svolta da personale con qualifiche professionali formalizzate?</t>
  </si>
  <si>
    <t>Processo per lo sviluppo sicuro del software</t>
  </si>
  <si>
    <t>Sono effettuati test di sicurezza formali prima dei principali passaggi in produzione?</t>
  </si>
  <si>
    <t>Gli sviluppatori sono formati sullo sviluppo sicuro?</t>
  </si>
  <si>
    <t>Sono effettuati test di sicurezza con continuità durante tutta la catena di sviluppo e test?</t>
  </si>
  <si>
    <t>Sono analizzati e formalizzati i requisiti di sicurezza prima dell'inizio delle attività di sviluppo?</t>
  </si>
  <si>
    <t>Viene utilizzato un ambiente di sviluppo separato da quello di produzione?</t>
  </si>
  <si>
    <t>Viene garantito l'utilizzo di dati non di produzione per lo sviluppo?</t>
  </si>
  <si>
    <t>Budget per la cybersecurity / sicurezza delle informazioni / sicurezza informatica</t>
  </si>
  <si>
    <t>Viene definito e allocato annualmente in modo da indirizzare le problematiche a rischio più elevato?</t>
  </si>
  <si>
    <t>Hanno tutti i dati all'interno della UE?</t>
  </si>
  <si>
    <t>Servizi di Cloud Computing</t>
  </si>
  <si>
    <t>Sono tutti certificati secondo ISO/IEC 27001, 27017, 27018 o equivalenti?</t>
  </si>
  <si>
    <t>Hanno tutti le responsabilità per la sicurezza formalmente suddivise tra cliente e fornitore?</t>
  </si>
  <si>
    <t>Screening del personale</t>
  </si>
  <si>
    <t>Prima di assumere personale sono richieste informazioni relative alla formazione e relativi attestati?</t>
  </si>
  <si>
    <t>Prima di assumere personale sono richieste informazioni verificabili relative agli impieghi precedenti?</t>
  </si>
  <si>
    <t>Prima di assumere personale sono richieste informazioni su eventuali carichi pendenti?</t>
  </si>
  <si>
    <t>Prima di assumere personale sono verificate, nel rispetto dei vincoli di legge, le informazioni richieste?</t>
  </si>
  <si>
    <t>Prima di assumere personale sono effettuate indagini nei termini del rispetto dei principi etici da parte del candidato?</t>
  </si>
  <si>
    <t>Si possiede una certificazione ISO/IEC 27001?</t>
  </si>
  <si>
    <t>Si possiede una certificazione ISO/IEC 27701?</t>
  </si>
  <si>
    <t>Certificazioni relative alla sicurezza delle informazioni nell'ambito dell'oggetto della fornitura</t>
  </si>
  <si>
    <t>Si possiede una certificazione SOC2 o SOC3?</t>
  </si>
  <si>
    <t>Si possiede un'altra certificazione? (specificare quale)</t>
  </si>
  <si>
    <t>Risposta del fornitore</t>
  </si>
  <si>
    <t>Sono configurate delle DMZ che ospitano i sistemi accessibili dall’esterno?</t>
  </si>
  <si>
    <t>Esistono delle VLAN con ACL configurate che segmentano la rete secondo le funzionalità necessarie?</t>
  </si>
  <si>
    <t>Sono utilizzati dei firewall o dispositivi equivalenti tra reti client e server?</t>
  </si>
  <si>
    <t>Dispositivi di protezione del traffico di rete</t>
  </si>
  <si>
    <t>Sono utilizzati dei firewall o dispositivi equivalenti a protezione delle comunicazioni con terze parti?</t>
  </si>
  <si>
    <t>Sono utilizzati dei firewall o dispositivi equivalenti a protezione del perimetro esterno?</t>
  </si>
  <si>
    <t>Reti wireless</t>
  </si>
  <si>
    <t>Sono protette con meccanismi di crittografia WPA2 o superiore?</t>
  </si>
  <si>
    <t>Le chiavi crittografiche o i certificati utilizzati sono sostituiti periodicamente?</t>
  </si>
  <si>
    <t>Sono presenti filtri degli indirizzi IP o MAC e il broadcast del SSID è disabilitato?</t>
  </si>
  <si>
    <t>E' presente una rete guest dedicata alla navigazione su internet degli ospiti/consulenti?</t>
  </si>
  <si>
    <t>Backup</t>
  </si>
  <si>
    <t>Sono definite e rispettate delle procedure in materia?</t>
  </si>
  <si>
    <t>I backup sono crittografati?</t>
  </si>
  <si>
    <t>I backup sono conservati separatamente dai sistemi?</t>
  </si>
  <si>
    <t>E' stato effettuato almeno un test di recovery in ambiente di produzione?</t>
  </si>
  <si>
    <t>Sono effettuati test periodici di recovery (al più almeno annualmente)?</t>
  </si>
  <si>
    <t>I backup hanno cadenza almeno settimanale?</t>
  </si>
  <si>
    <t>I backup coprono tutti i sistemi?</t>
  </si>
  <si>
    <t>I backup sono protetti dalla riscrittura non autorizzata?</t>
  </si>
  <si>
    <t>Sono effettuati con utenze personali e mai tramite utenze di gruppo o condivise?</t>
  </si>
  <si>
    <t xml:space="preserve">Accessi logici degli utenti ai sistemi e alle principali applicazioni aziendali </t>
  </si>
  <si>
    <t xml:space="preserve">Accessi logici degli amministratori ai sistemi, agli apparati di rete e alle principali applicazioni aziendali </t>
  </si>
  <si>
    <t>Sono effettuati attraverso un’autenticazione a più fattori (password e token o biometrico)?</t>
  </si>
  <si>
    <t>Sono effettuati per mezzo di password lunghe almeno 8 caratteri?</t>
  </si>
  <si>
    <t>Sono effettuati per mezzo di password con una scadenza al più ogni 90 giorni?</t>
  </si>
  <si>
    <t>Sono effettuati senza mai impiegare utenze di servizio o applicative?</t>
  </si>
  <si>
    <t>Sono effettuati utilizzando canali o protocolli di rete cifrati?</t>
  </si>
  <si>
    <t>Sono effettuati solo da determinate postazioni o aree di rete?</t>
  </si>
  <si>
    <t>Sono effettuati impiegando criteri di accesso più restrittivi di quelli applicati agli utenti?</t>
  </si>
  <si>
    <t>Sono applicate ulteriori misure di sicurezza rispetto alla domanda precedente?</t>
  </si>
  <si>
    <t>Accessi logici da remoto ai sistemi aziendali</t>
  </si>
  <si>
    <t>Sono effettuati tramite una VPN o strumento equivalente che protegge la riservatezza del traffico di rete?</t>
  </si>
  <si>
    <t>Utilizzano un'autenticazione che richiede un'utenza individuale?</t>
  </si>
  <si>
    <t>Gli account utilizzati sono espressamente autorizzati e periodicamente confermati?</t>
  </si>
  <si>
    <t>Utilizzano un'autenticazione che richiede più fattori di autenticazione agli utenti (password e token o certificato o biometrico)?</t>
  </si>
  <si>
    <t>Utilizzano un'autenticazione che richiede più fattori di autenticazione agli amministratori (password e token o certificato o biometrico)?</t>
  </si>
  <si>
    <t xml:space="preserve">Utenti a livello di sistema operativo e, ove applicabile, di software applicativi </t>
  </si>
  <si>
    <t>Sono tutti gestiti centralmente?</t>
  </si>
  <si>
    <t>Hanno privilegi corrispondenti con il minimo indispensabile per operare e gli amministratori sono limitati a un ristretto gruppo?</t>
  </si>
  <si>
    <t>Sono sottoposti a riesame sistematico dei privilegi con periodicità almeno semestrale?</t>
  </si>
  <si>
    <t>Sono tempestivamente allineati con le nuove assunzioni, con i cambi di ruolo e le uscite?</t>
  </si>
  <si>
    <t>Patch di sicurezza pubblicate dai vendor</t>
  </si>
  <si>
    <t>Ove siano applicabili vengono testate in modo esaustivo su sistemi di test prima del rilascio?</t>
  </si>
  <si>
    <t>Sono classificate in base alla loro criticità e rilasciate di conseguenza?</t>
  </si>
  <si>
    <t>Se critiche sono rilasciate su tutti i sistemi entro 60 giorni o meno?</t>
  </si>
  <si>
    <t>Sono rilasciate in modo massivo su tutti i sistemi entro 6 mesi?</t>
  </si>
  <si>
    <t>Viene applicata una politica per evitare i casi di end-of-life?</t>
  </si>
  <si>
    <t>Vulnerability assessment</t>
  </si>
  <si>
    <t>Sono effettuati su tutti i sistemi informativi interni con una cadenza semestrale o superiore?</t>
  </si>
  <si>
    <t>Sono effettuati su tutti i sistemi informativi esposti con una cadenza trimestrale o superiore?</t>
  </si>
  <si>
    <t>Le vulnerabilità riscontrate sono classificate in base alla loro criticità e risolte di conseguenza?</t>
  </si>
  <si>
    <t>Sono effettuati utilizzando strumenti e personale qualificati?</t>
  </si>
  <si>
    <t>Sono effettuati a livello infrastrutturale?</t>
  </si>
  <si>
    <t>Sono effettuati a livello applicativo?</t>
  </si>
  <si>
    <t>Penetration test</t>
  </si>
  <si>
    <t>Sono effettuati su tutti i sistemi informativi interni con una cadenza biennale o superiore?</t>
  </si>
  <si>
    <t>Sono effettuati su tutti i sistemi informativi esposti con una cadenza annuale o superiore?</t>
  </si>
  <si>
    <t>Gestione dei log</t>
  </si>
  <si>
    <t>L'integrità dei log è garantita?</t>
  </si>
  <si>
    <t>I log sono riesaminati periodicamente?</t>
  </si>
  <si>
    <t>I log sono registrati su più sistemi?</t>
  </si>
  <si>
    <t>I log sono registrati su sistemi centralizzati?</t>
  </si>
  <si>
    <t>Vengono registrate informazioni aggiuntive oltre ad accessi e/o errori?</t>
  </si>
  <si>
    <t>Utilizzano un riferimento temporale allineato con una sorgente esterna attendibile?</t>
  </si>
  <si>
    <t>Sono gestiti in modo strutturato e uniforme sui sistemi?</t>
  </si>
  <si>
    <t>Dati memorizzati sui sistemi (data at rest)</t>
  </si>
  <si>
    <t>Sono protetti applicando soluzioni di cifratura forte del dato a tutti i dati memorizzati?</t>
  </si>
  <si>
    <t>Sono protetti applicando soluzioni di cifratura forte del disco su tutti i sistemi?</t>
  </si>
  <si>
    <t>Sono protetti separando gli amministratori del database da quelli dei sistemi?</t>
  </si>
  <si>
    <t>Sono protetti implementando firewall applicativi che filtrano le richieste ai database?</t>
  </si>
  <si>
    <t>Sono protetti implementando strategie di controllo degli accessi granulari?</t>
  </si>
  <si>
    <t>Dati scambiati con i sistemi attraverso Internet (data in transit) e per l'accesso amministrativo (ivi incluse credenziali, token di sessione ed eventuali altri elementi analoghi)</t>
  </si>
  <si>
    <t>Sono protetti adottando misure di autenticazione della sorgente o del destinatario?</t>
  </si>
  <si>
    <t>Sono protetti adottando misure di mutua autenticazione tra le parti?</t>
  </si>
  <si>
    <t>Sono protetti applicando esclusivamente protocolli di comunicazione sicuri che implementano una cifratura forte?</t>
  </si>
  <si>
    <t>Protezione degli endpoint aziendali (portatili, smartphone, tablet)</t>
  </si>
  <si>
    <t>Sono protetti tramite password del BIOS o equivalente?</t>
  </si>
  <si>
    <t>Sono protetti tramite cifratura del disco o equivalente?</t>
  </si>
  <si>
    <t>Sono protetti tramite nome utente e password del sistema operativo?</t>
  </si>
  <si>
    <t>Sono protetti tramite criteri di sicurezza impostati con una piattaforma MDM (Mobile Device Management)?</t>
  </si>
  <si>
    <t>Sono protetti disabilitando la possibilità di avvio mediante device removibile?</t>
  </si>
  <si>
    <t>Viene adottato un sistema anti-malware?</t>
  </si>
  <si>
    <t>Il sistema anti-malware ha un aggiornamento automatico o almeno giornaliero delle definizioni?</t>
  </si>
  <si>
    <t>Viene adottato un sistema EDR (Endpoint Detection and Response)?</t>
  </si>
  <si>
    <t>Viene adottato un sistema anti-spam?</t>
  </si>
  <si>
    <t>Viene adottato un DLP (Data Leakage Prevention)?</t>
  </si>
  <si>
    <t>Viene adottato un IDS (Intrusion Detection System) o IPS (Intrusion Prevention System)?</t>
  </si>
  <si>
    <t>Viene adottato un DRM (Digital Rights Management)?</t>
  </si>
  <si>
    <t>Viene adottato un Anti-APT (Advanced Persistent Threat)?</t>
  </si>
  <si>
    <t>Viene adottato un SIEM (Security Incident and Event Management)?</t>
  </si>
  <si>
    <t>Viene effettuato un controllo della navigazione su Internet?</t>
  </si>
  <si>
    <t>Viene adottato un sistema di file integrity monitoring?</t>
  </si>
  <si>
    <t>Vengono utilizzati record DNS DMARC, DKIM ed SPF?</t>
  </si>
  <si>
    <t>Vengono adottati degli apparati di rete con funzionalità anti-malware?</t>
  </si>
  <si>
    <t>Strumenti di elaborazione personale - BYOD (inclusi tablet e smartphone):</t>
  </si>
  <si>
    <t>Vengono utilizzati solo per navigare su Internet e attraverso reti guest separate?</t>
  </si>
  <si>
    <t>Sono soggetti ad obbligo di memorizzare e trasmettere i dati aziendali esclusivamente in forma crittografata?</t>
  </si>
  <si>
    <t>Il loro uso è soggetto a regole formalizzate in materia?</t>
  </si>
  <si>
    <t>Sono soggetti alle stesse misure di protezione degli endpoint aziendali?</t>
  </si>
  <si>
    <t xml:space="preserve">Gestione degli incidenti relativi alla sicurezza delle informazioni / cybersecurity </t>
  </si>
  <si>
    <t>Sono condivisi con soggetti terzi secondo quanto previsto da contratti e obblighi di legge?</t>
  </si>
  <si>
    <t>Esiste un piano dettagliato di risposta agli incidenti che viene aggiornato periodicamente?</t>
  </si>
  <si>
    <t>Viene effettuata un'analisi delle cause di ogni incidente che viene usata anche per aggiornare il piano di risposta agli incidenti?</t>
  </si>
  <si>
    <t>Sono effettuati test periodici di simulazione per la risposta agli incidenti?</t>
  </si>
  <si>
    <t>Sono effettuate attività di analisi forense in caso di necessità?</t>
  </si>
  <si>
    <t>Sono gestiti con il supporto di personale specializzato o di un SOC esterno?</t>
  </si>
  <si>
    <t>Notifica degli incidenti</t>
  </si>
  <si>
    <t>Viene effettuata a tutti gli interessati?</t>
  </si>
  <si>
    <t>Viene effettuata alle autorità rilevanti?</t>
  </si>
  <si>
    <t>Viene effettuata entro tempi preventivamente definiti?</t>
  </si>
  <si>
    <t>Viene effettuata pubblicamente tramite appositi comunicati ove applicabile?</t>
  </si>
  <si>
    <t>Viene effettuata anche a conclusione dell'incidente e una volta accertate le cause?</t>
  </si>
  <si>
    <t>Cancellazione sicura dei dati</t>
  </si>
  <si>
    <t>Viene effettuata attraverso sovrascrittura logica o distruzione fisica di tutti i supporti che lasciano l’azienda o vengono riassegnati in modo da rendere irrecuperabili i dati?</t>
  </si>
  <si>
    <t>Viene effettuata richiedendo ai manutentori dei sistemi di assicurare la cancellazione sicura dei supporti da loro sostituiti o dismessi?</t>
  </si>
  <si>
    <t>Trattamento dei dati personali</t>
  </si>
  <si>
    <t>Sono conservati per un periodo di tempo definito in una data retention policy o equivalente?</t>
  </si>
  <si>
    <t>Sono cancellati automaticamente in modo sicuro dopo che il tempo definito è trascorso?</t>
  </si>
  <si>
    <t>Sono anonimizzati automaticamente dopo che il tempo definito è trascorso?</t>
  </si>
  <si>
    <t>Sono sottoposti a verifiche periodiche che permettono di garantire la loro conservazione solo per il periodo di tempo definito?</t>
  </si>
  <si>
    <t>Cambiamenti ai sistemi informativi e ai software su di essi presenti</t>
  </si>
  <si>
    <t>Sono registrati in modo da includere informazioni circa il richiedente, l'impatto previsto e la tipologia di cambiamento?</t>
  </si>
  <si>
    <t>Sono approvati da un soggetto diverso dal richiedente prima della loro effettuazione?</t>
  </si>
  <si>
    <t>Sono sottoposti a test prima del loro rilascio in produzione?</t>
  </si>
  <si>
    <t>Configurazione di tutti i sistemi operativi e dei principali software installati sui sistemi informativi</t>
  </si>
  <si>
    <t>Viene effettuata modificando le configurazioni di default secondo procedure di hardening definite?</t>
  </si>
  <si>
    <t>E' basata su best practice di settore per l'hardening dei sistemi informativi?</t>
  </si>
  <si>
    <t>Viene controllata centralmente attraverso sistemi o meccanismi di gestione delle configurazioni?</t>
  </si>
  <si>
    <t>E' conforme al principio di minima funzionalità necessaria?</t>
  </si>
  <si>
    <t>Viene verificata periodicamente per individuare modifiche non autorizzate?</t>
  </si>
  <si>
    <t>Sistemi di monitoraggio</t>
  </si>
  <si>
    <t>Sono configurati per individuare e registrare l'indisponibilità di un sistema?</t>
  </si>
  <si>
    <t>Sono configurati per verificare il traffico di rete?</t>
  </si>
  <si>
    <t>Sono configurati per verificare l'uso delle risorse?</t>
  </si>
  <si>
    <t>Sono configurati per verificare il funzionamento dei sistemi di sicurezza?</t>
  </si>
  <si>
    <t>Sono configurati per inviare allarmi in tempo reale in caso di anomalie o malfunzionamenti?</t>
  </si>
  <si>
    <t>Architettura applicativa</t>
  </si>
  <si>
    <t>Esiste un documento di descrizione complessiva dell'architettura dell'applicazione?</t>
  </si>
  <si>
    <t>Esiste un documento di descrizione dei layer dell'applicazione (es.: database server, application server, web server, …)?</t>
  </si>
  <si>
    <t>Esiste un documento di descrizione delle prestazioni e dei limiti di utilizzo dell'applicativo?</t>
  </si>
  <si>
    <t>Esiste un documento che elenchi e descriva le interfacce di comunicazione dell'applicazione (protocolli, porte utilizzate, etc.)?</t>
  </si>
  <si>
    <t>Sistemi di protezione locali</t>
  </si>
  <si>
    <t>Sistemi di protezione di rete</t>
  </si>
  <si>
    <t>Accesso al perimetro dell'organizzazione</t>
  </si>
  <si>
    <t>E’ sottoposto a misure di videocontrollo?</t>
  </si>
  <si>
    <t>E’ controllato attraverso allarmi anti-intrusione al di fuori degli orari di ufficio?</t>
  </si>
  <si>
    <t>E' subordinato ad un'autenticazione a più fattori?</t>
  </si>
  <si>
    <t>E’ consentito solo a personale dotato di token (es. badge) che viene riconosciuto da un sistema automatico?</t>
  </si>
  <si>
    <t>E’ mediato da una reception o guardiania per ogni punto di accesso?</t>
  </si>
  <si>
    <t xml:space="preserve">Accesso ai locali che ospitano i server </t>
  </si>
  <si>
    <t>I varchi limitano l’accesso a una sola persona?</t>
  </si>
  <si>
    <t>Il personale esterno accede solo se accompagnato?</t>
  </si>
  <si>
    <t>E' registrato dettagliatamente e le informazioni raccolte sono mantenute almeno per 3 mesi?</t>
  </si>
  <si>
    <t>E' controllato tramite sistemi anti-intrusione?</t>
  </si>
  <si>
    <t>Controllo di temperatura e umidità nei locali che ospitano i server</t>
  </si>
  <si>
    <t>Sono configurati allarmi al superamento di soglie definite di temperatura o umidità?</t>
  </si>
  <si>
    <t>L’umidità è controllata?</t>
  </si>
  <si>
    <t>La temperatura è controllata?</t>
  </si>
  <si>
    <t>Sono installati rilevatori di allagamento?</t>
  </si>
  <si>
    <t>E' garantita mediante gruppi elettrogeni?</t>
  </si>
  <si>
    <t>Sono presenti almeno due linee di alimentazione appoggiate a provider diversi?</t>
  </si>
  <si>
    <t>Sono effettuati test periodici del funzionamento di UPS e/o gruppi elettrogeni?</t>
  </si>
  <si>
    <t>E' garantita mediante UPS?</t>
  </si>
  <si>
    <t>Gli apparati sono dotati di alimentatori ridondati collegati a linee di alimentazione distinte?</t>
  </si>
  <si>
    <t>Continuità dell'alimentazione elettrica nei locali che ospitano i server</t>
  </si>
  <si>
    <t>Protezione antincendio dei locali che ospitano i server</t>
  </si>
  <si>
    <t>Sono attivi rilevatori antifumo collegati a un sistema di allarme?</t>
  </si>
  <si>
    <t>Sono attivi apparati di condizionamento completamente ridondati?</t>
  </si>
  <si>
    <t>Sono attivi sistemi di spegnimento automatico a gas o equivalenti?</t>
  </si>
  <si>
    <t>Sono presenti estintori manuali?</t>
  </si>
  <si>
    <t>Sono effettuati test periodici di funzionamento del sistema antincendio?</t>
  </si>
  <si>
    <t>Archivi cartacei principali delle informazioni</t>
  </si>
  <si>
    <t>Sono mantenuti chiusi a chiave tranne nei momenti di loro utilizzo?</t>
  </si>
  <si>
    <t>Sono mantenuti chiusi a chiave al di fuori dell’orario lavorativo?</t>
  </si>
  <si>
    <t>Sono affidati ad un outsourcer per la conservazione sicura o la digitalizzazione?</t>
  </si>
  <si>
    <t>E' registrato dettagliatamente l'accesso e le informazioni raccolte sono mantenute almeno per 3 mesi?</t>
  </si>
  <si>
    <t>Grado di copertura del tema</t>
  </si>
  <si>
    <t>Peso Tema (Riportato)</t>
  </si>
  <si>
    <t>Totale ottenuto (TO)</t>
  </si>
  <si>
    <t>Grado di copertura del tema (Risposta)</t>
  </si>
  <si>
    <t>(prima riga del tema)</t>
  </si>
  <si>
    <t>Peso domanda sel</t>
  </si>
  <si>
    <t>Peso Tema sel</t>
  </si>
  <si>
    <t>Massimo ottenibile (TM)</t>
  </si>
  <si>
    <t>percentuale</t>
  </si>
  <si>
    <t>SELEZIONE DOMANDA</t>
  </si>
  <si>
    <t>Il foglio dei risultati riepiloga il risultato della compilazione rispetto alle domande selezionate utilizzando un calcolo a doppia pesatura (delle domande e dei temi) e ritornando un punteggio pari al 100% in caso tutte le domande selezionate abbiano ricevuto risposta positiva, o proporzionalmente decrementale diversamente.</t>
  </si>
  <si>
    <t>valore assoluto</t>
  </si>
  <si>
    <t>Temi del questionario</t>
  </si>
  <si>
    <t>Temi selezionati</t>
  </si>
  <si>
    <t>Domande del questionario</t>
  </si>
  <si>
    <t>Domande selezionate</t>
  </si>
  <si>
    <t>Risposte fornite</t>
  </si>
  <si>
    <t>Questionario compilato da:</t>
  </si>
  <si>
    <t>Data di compilazione:</t>
  </si>
  <si>
    <t>&lt;nome e cognome&gt;</t>
  </si>
  <si>
    <t>&lt;gg-mm-aaaa&gt;</t>
  </si>
  <si>
    <t>Punteggio finale ottenuto</t>
  </si>
  <si>
    <t>SELEZIONE TEMA</t>
  </si>
  <si>
    <t>FNCS 2</t>
  </si>
  <si>
    <t>FNCS 2.1</t>
  </si>
  <si>
    <t>PR.AA-06</t>
  </si>
  <si>
    <t>PR.AA-01</t>
  </si>
  <si>
    <t>PR.PS-01</t>
  </si>
  <si>
    <t>ID.AM-08</t>
  </si>
  <si>
    <t>ID.AM-05</t>
  </si>
  <si>
    <t>PR.PS-04</t>
  </si>
  <si>
    <t>ID.IM-04</t>
  </si>
  <si>
    <t>PR.DS-11</t>
  </si>
  <si>
    <t>DP-GV.RR-05</t>
  </si>
  <si>
    <t>PR.AT-01</t>
  </si>
  <si>
    <t>PR.AT-02</t>
  </si>
  <si>
    <t>ID.AM-01</t>
  </si>
  <si>
    <t>ID.AM-02</t>
  </si>
  <si>
    <t>ID.AM-04</t>
  </si>
  <si>
    <t>GV.SC-05</t>
  </si>
  <si>
    <t>GV.RM-03</t>
  </si>
  <si>
    <t>ID.IM-03</t>
  </si>
  <si>
    <t>PR.IR-01</t>
  </si>
  <si>
    <t>GV.RR-04</t>
  </si>
  <si>
    <t>PR.AA-02</t>
  </si>
  <si>
    <t>PR.AA-03</t>
  </si>
  <si>
    <t>PR.AA-05</t>
  </si>
  <si>
    <t>PR.AA-03
PR.AA-05
PR.IR-01</t>
  </si>
  <si>
    <t>GV.SC-02
GV.OC-02
GV.RR-02
PR.AT-01</t>
  </si>
  <si>
    <t>PR.AA-01
PR.AA-05</t>
  </si>
  <si>
    <t>PR.PS-06
ID.AM-08</t>
  </si>
  <si>
    <t>GV.SC-01
GV.SC-06
GV.SC-09
GV.SC-10
GV.RM-05</t>
  </si>
  <si>
    <t>ID.IM-02
ID.IM-03
ID.IM-04
RS.MA-05
RC.RP-01
RC.RP-02</t>
  </si>
  <si>
    <t>PR.IR-04</t>
  </si>
  <si>
    <t>PR.IR-03</t>
  </si>
  <si>
    <t>ID.RA-01
PR.PS-02</t>
  </si>
  <si>
    <t>ID.RA-01</t>
  </si>
  <si>
    <t>PR.DS-01</t>
  </si>
  <si>
    <t>PR.DS-01
PR.DS-02
PR.DS-10</t>
  </si>
  <si>
    <t>PR.DS-02</t>
  </si>
  <si>
    <t>DE.CM-01
DE.CM-09</t>
  </si>
  <si>
    <t>PR.DS-01
DE.CM-09</t>
  </si>
  <si>
    <t>PR.AA-06
PR.IR-01</t>
  </si>
  <si>
    <t>DE.CM-01</t>
  </si>
  <si>
    <t>RS.CO-02
RS.CO-04
RS.MA-03</t>
  </si>
  <si>
    <t>RS.MI-1
RS.MI-2
PR.IP-9
RS.RP-1</t>
  </si>
  <si>
    <t>RS.MI-01
RS.MI-02
ID.IM-04
RS.MA-01</t>
  </si>
  <si>
    <t>RS.IM-03
RS.IM-04</t>
  </si>
  <si>
    <t>RS.AN-03
RS.AN-06</t>
  </si>
  <si>
    <t>DP-ID.DM-01</t>
  </si>
  <si>
    <t>ID.AM-08
PR.PS-03</t>
  </si>
  <si>
    <t>PR.PS-01
ID.RA-07</t>
  </si>
  <si>
    <t>ID.AM-03
DE.AE-02
DE.AE-08
DE.CM-01
DE.CM-03
DE.CM-06
DE.CM-09
PR.PS-05</t>
  </si>
  <si>
    <t>DE.CM-02</t>
  </si>
  <si>
    <t>PR.IR-02</t>
  </si>
  <si>
    <t>ID.RA-01
ID.RA-03
ID.RA-04
ID.RA-05</t>
  </si>
  <si>
    <t>GV.RM-01
GV.RM-02
GV.RM-04
GV.RM-06
GV.RR-03</t>
  </si>
  <si>
    <t>ID.AM-03
ID.AM-07
DP-ID.AM-09</t>
  </si>
  <si>
    <t>RS.CO-02
RS.CO-03</t>
  </si>
  <si>
    <t>GV.PO-01
GV.PO-02</t>
  </si>
  <si>
    <t xml:space="preserve">Include il rischio associato alle forniture? </t>
  </si>
  <si>
    <t>GV.SC-07</t>
  </si>
  <si>
    <t xml:space="preserve">E’ periodicamente verificato il rispetto delle clausole sopra riportate incluse nei contratti? </t>
  </si>
  <si>
    <t>ID.SC-2 
ID.SC-4</t>
  </si>
  <si>
    <t>GV.SC-04</t>
  </si>
  <si>
    <t>Includono i fornitori le cui forniture hanno un potenziale impatto sulla sicurezza delle informazioni?</t>
  </si>
  <si>
    <t>ID.SC-2</t>
  </si>
  <si>
    <t>Le diverse tipologie di sistemi (server di front-end, server di back-end, client etc.) sono segregate in segmenti di rete separati?</t>
  </si>
  <si>
    <t>PR.AC-5</t>
  </si>
  <si>
    <t>Includono accordi per la condivisione del codice sorgente fornito da terzi?</t>
  </si>
  <si>
    <t>Sono adottate procedure e strumenti tecnici per garantire l'autenticità e l'integrità del software o firmware installato ed eseguito?</t>
  </si>
  <si>
    <t>SIT.26</t>
  </si>
  <si>
    <t>Manutenzione dei sistemi informativi</t>
  </si>
  <si>
    <t>E' effettuata regolarmente secondo le specifiche dei vendor?</t>
  </si>
  <si>
    <t>E' documentata ed effettuata con strumenti controllati ed autorizzati?</t>
  </si>
  <si>
    <t>E' effettuata sia in locale che da remoto in modo da minimizzare accessi non autorizzati?</t>
  </si>
  <si>
    <t>A.7.13</t>
  </si>
  <si>
    <t>PR.MA-2</t>
  </si>
  <si>
    <t>Sono configurati per raccogliere e correlare informazioni da sorgenti multiple?</t>
  </si>
  <si>
    <r>
      <t xml:space="preserve">DE.AE-1
DE.AE-2
</t>
    </r>
    <r>
      <rPr>
        <b/>
        <sz val="10"/>
        <color rgb="FF00B0F0"/>
        <rFont val="Arial"/>
        <family val="2"/>
      </rPr>
      <t>DE.AE-3</t>
    </r>
    <r>
      <rPr>
        <b/>
        <sz val="10"/>
        <color rgb="FF000000"/>
        <rFont val="Arial"/>
        <family val="2"/>
      </rPr>
      <t xml:space="preserve">
DE.AE-5
DE.CM-1
DE.CM-7
RS.AN-1</t>
    </r>
  </si>
  <si>
    <t>Sono assegnate a chi deve monitorare i sistemi informativi?</t>
  </si>
  <si>
    <r>
      <t xml:space="preserve">ID.AM-6
ID.GV-2
</t>
    </r>
    <r>
      <rPr>
        <b/>
        <sz val="10"/>
        <color rgb="FF00B0F0"/>
        <rFont val="Arial"/>
        <family val="2"/>
      </rPr>
      <t>DE.DP.1</t>
    </r>
    <r>
      <rPr>
        <b/>
        <sz val="10"/>
        <color rgb="FF000000"/>
        <rFont val="Arial"/>
        <family val="2"/>
      </rPr>
      <t xml:space="preserve">
RS.CO-1</t>
    </r>
  </si>
  <si>
    <t>Viene effettuata anche relativamente alle attività di ripristino condotte a seguito di un incidente sia internamente che esternamente?</t>
  </si>
  <si>
    <r>
      <t xml:space="preserve">DP-RS.CO-06
</t>
    </r>
    <r>
      <rPr>
        <b/>
        <sz val="10"/>
        <color rgb="FF00B0F0"/>
        <rFont val="Arial"/>
        <family val="2"/>
      </rPr>
      <t>RC.CO-3</t>
    </r>
  </si>
  <si>
    <r>
      <t xml:space="preserve">Vengono controllate costantemente </t>
    </r>
    <r>
      <rPr>
        <sz val="10"/>
        <color rgb="FF00B0F0"/>
        <rFont val="Arial"/>
        <family val="2"/>
      </rPr>
      <t>anche consultando CSIRT e ISAC settoriali</t>
    </r>
    <r>
      <rPr>
        <sz val="10"/>
        <color rgb="FF000000"/>
        <rFont val="Arial"/>
        <family val="2"/>
      </rPr>
      <t xml:space="preserve"> e ne viene verificata l'applicabilità?</t>
    </r>
  </si>
  <si>
    <r>
      <t xml:space="preserve">ID.RA-01
ID.RA-06
</t>
    </r>
    <r>
      <rPr>
        <b/>
        <sz val="10"/>
        <color rgb="FF00B0F0"/>
        <rFont val="Arial"/>
        <family val="2"/>
      </rPr>
      <t>ID.RA-08</t>
    </r>
    <r>
      <rPr>
        <b/>
        <sz val="10"/>
        <color rgb="FF000000"/>
        <rFont val="Arial"/>
        <family val="2"/>
      </rPr>
      <t xml:space="preserve">
PR.PS-02</t>
    </r>
  </si>
  <si>
    <t>Vengono gestite attraverso un piano documentato e approvato?</t>
  </si>
  <si>
    <t>ID.IM-01</t>
  </si>
  <si>
    <t>Sono riesaminate ed eventualmente aggiornate almeno annualmente o in caso di cambiamenti significativi?</t>
  </si>
  <si>
    <t>RC.CO-03</t>
  </si>
  <si>
    <t>Sono registrati, analizzati, classificati e gestiti tramite azioni documentate?</t>
  </si>
  <si>
    <t>PR.PS-02</t>
  </si>
  <si>
    <t>PR.PS-03</t>
  </si>
  <si>
    <r>
      <t xml:space="preserve">CLUSIT, associazione Italiana per la Sicurezza Informatica, considerando le notevoli problematiche ed inefficienze che interessano questo ambito, ha attivato un gruppo di lavoro per redigere un questionario di riferimento, a supporto universale delle organizzazioni di ogni tipo, per la selezione di fornitori ICT </t>
    </r>
    <r>
      <rPr>
        <sz val="12"/>
        <rFont val="Arial"/>
        <family val="2"/>
      </rPr>
      <t>di prodotti e servizi</t>
    </r>
    <r>
      <rPr>
        <sz val="12"/>
        <color rgb="FF000000"/>
        <rFont val="Arial"/>
        <family val="2"/>
      </rPr>
      <t xml:space="preserve">, al fine di permettere di verificare agevolmente il loro grado di sicurezza delle informazioni/sicurezza ICT/cybersecurity </t>
    </r>
    <r>
      <rPr>
        <sz val="12"/>
        <color rgb="FF00B0F0"/>
        <rFont val="Arial"/>
        <family val="2"/>
      </rPr>
      <t xml:space="preserve">da loro offerto </t>
    </r>
    <r>
      <rPr>
        <sz val="12"/>
        <color rgb="FF000000"/>
        <rFont val="Arial"/>
        <family val="2"/>
      </rPr>
      <t>e, attraverso le risposte, dare dimostrazione dei requisiti applicabili in conformità alle best practice di settore e in linea con la strategia dell’organizzazione.</t>
    </r>
  </si>
  <si>
    <r>
      <t>Il questionario riportato nel foglio successivo si articola in 4</t>
    </r>
    <r>
      <rPr>
        <sz val="12"/>
        <color rgb="FF00B0F0"/>
        <rFont val="Arial"/>
        <family val="2"/>
      </rPr>
      <t>8</t>
    </r>
    <r>
      <rPr>
        <sz val="12"/>
        <color rgb="FF000000"/>
        <rFont val="Arial"/>
        <family val="2"/>
      </rPr>
      <t xml:space="preserve"> temi collegati a domande a risposta chiusa e multipla, che mirano a verificare i principali requisiti previsti da ISO/IEC 27001 (Sistema di Gestione per la Sicurezza delle Informazioni) e FNCS (Framework Nazionale di Cyber Security) </t>
    </r>
    <r>
      <rPr>
        <sz val="12"/>
        <color rgb="FF00B0F0"/>
        <rFont val="Arial"/>
        <family val="2"/>
      </rPr>
      <t>applicabili a fornitori</t>
    </r>
    <r>
      <rPr>
        <sz val="12"/>
        <color rgb="FF000000"/>
        <rFont val="Arial"/>
        <family val="2"/>
      </rPr>
      <t xml:space="preserve"> di prodotti e servizi ICT </t>
    </r>
    <r>
      <rPr>
        <sz val="12"/>
        <color rgb="FF00B0F0"/>
        <rFont val="Arial"/>
        <family val="2"/>
      </rPr>
      <t>senza tuttavia entrare nel merito delle specifiche forniture</t>
    </r>
    <r>
      <rPr>
        <sz val="12"/>
        <color rgb="FF000000"/>
        <rFont val="Arial"/>
        <family val="2"/>
      </rPr>
      <t>.
L'organizzazione, una volta deciso quali temi proporre (idealmente tutti ma si può optare per utilizzarne solo un sottoinsieme)</t>
    </r>
    <r>
      <rPr>
        <sz val="12"/>
        <color rgb="FF00B0F0"/>
        <rFont val="Arial"/>
        <family val="2"/>
      </rPr>
      <t>,</t>
    </r>
    <r>
      <rPr>
        <sz val="12"/>
        <color rgb="FF000000"/>
        <rFont val="Arial"/>
        <family val="2"/>
      </rPr>
      <t xml:space="preserve"> e ricevuto il questionario compilato da parte del fornitore, sarà in grado di individuare i punti di debolezza/non conformità e, conseguentemente, richiedere le necessarie azioni sul fornitore in modo tale da garantire la propria cybersecurity.</t>
    </r>
  </si>
  <si>
    <r>
      <t>Il foglio del questionario è stato organizzato nelle seguenti colonne:
- SEZIONE: è un'area che raggruppa temi e domande sullo stesso ambito. Sono previste le aree di GESTIONE DELLA SICUREZZA, SICUREZZA IT e SICUREZZA FISICA
- CODICE: è un codice identificativo unico del tema formato da 3 lettere per l'area, un punto di separazione e due cifre per un numero progressivo
- TEMA: è il testo descrittivo del tema
- SOTTOINSIEME DOMANDE APPLICABILE A ...: colonne che indicano se la domanda è ritenuta parte di un sottoinsieme applicabile per esempio ai fornitori di prodotti ICT, di servizi ICT o altro
- SELEZIONE DOMANDA: pilota l'inclusione o l'esclusione della domanda nel questionario e nel computo dei risultati derivanti dalla sua compilazione
- RIF</t>
    </r>
    <r>
      <rPr>
        <sz val="12"/>
        <color rgb="FF00B0F0"/>
        <rFont val="Arial"/>
        <family val="2"/>
      </rPr>
      <t>ERIMENTI ISO/IEC</t>
    </r>
    <r>
      <rPr>
        <sz val="12"/>
        <color rgb="FF000000"/>
        <rFont val="Arial"/>
        <family val="2"/>
      </rPr>
      <t xml:space="preserve"> 27001: è il requisito o il controllo della norma ISO/IEC 27001:2022 richiamato dalla risposta. Se questa è selezionata è plausibile presumere che il requisito o controllo sia almeno in parte attuato/implementato
- RI</t>
    </r>
    <r>
      <rPr>
        <sz val="12"/>
        <color rgb="FF00B0F0"/>
        <rFont val="Arial"/>
        <family val="2"/>
      </rPr>
      <t>FERIMENTI</t>
    </r>
    <r>
      <rPr>
        <sz val="12"/>
        <color rgb="FF000000"/>
        <rFont val="Arial"/>
        <family val="2"/>
      </rPr>
      <t xml:space="preserve"> FNCS </t>
    </r>
    <r>
      <rPr>
        <sz val="12"/>
        <color rgb="FF00B0F0"/>
        <rFont val="Arial"/>
        <family val="2"/>
      </rPr>
      <t>2 e 2.1</t>
    </r>
    <r>
      <rPr>
        <sz val="12"/>
        <color rgb="FF000000"/>
        <rFont val="Arial"/>
        <family val="2"/>
      </rPr>
      <t xml:space="preserve">: è il requisito o il controllo del Framework Nazionale di Cyber Security richiamato dalla risposta. Se questa è selezionata è plausibile presumere che il requisito o controllo sia almeno in parte attuato/implementato
- DOMANDA: è la domanda posta al fornitore
- RISPOSTA DEL FORNITORE: è la risposta data alla domanda
</t>
    </r>
    <r>
      <rPr>
        <sz val="12"/>
        <color rgb="FF00B0F0"/>
        <rFont val="Arial"/>
        <family val="2"/>
      </rPr>
      <t>- NOTE / REMEDIATION / AZIONI IN CORSO: è un campo libero in cui si può richiedere di inserire dettagli ulteriori in ogni caso oppure solo laddove le risposte siano negative, indicando eventuali azioni in corso</t>
    </r>
  </si>
  <si>
    <r>
      <t xml:space="preserve">Rispetto alla precedente versione 1.0 del questionario sono state introdotte le domande a risposta chiusa, la pesatura delle domande e dei temi e l'algoritmo di calcolo dei risultati oltre ad essere state corrette alcune imprecisioni.
Rispetto alla precedente versione 2.0 del questionario è stata aggiunta una mappatura alla versione aggiornata del Framework Nazionale di Cyber Security.
</t>
    </r>
    <r>
      <rPr>
        <sz val="12"/>
        <color rgb="FF00B0F0"/>
        <rFont val="Arial"/>
        <family val="2"/>
      </rPr>
      <t>Rispetto alla precedente versione 2.1 del questionario sono stati coperti i requisiti del FNCS richiamati nell'ambito del PSNC e di quello legato a NIS2 ed è stata elaborata una versione in lingua inglese.</t>
    </r>
  </si>
  <si>
    <t>Si possiede una certificazione ISO 22301?</t>
  </si>
  <si>
    <t>CLUSIT ringrazia per la partecipazione ai lavori di stesura della presente versione del questionario:
Giovanni BELLUZZO
Giancarlo BUTTI
Fabio GUASCONI (Coordinatore)
Roberto OBIALERO
Massimiliano PERRONE
Alessandro VALLEGA</t>
  </si>
  <si>
    <t>e per le precedenti versioni ringrazia anche:
Elenio DURSI
Federica Maria Rita LIVELLI
Davide MANCONI
Andrea RUI
Sofia SCOZZARI
Claudio TELMON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</si>
</sst>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6">
    <font>
      <sz val="12"/>
      <color rgb="FF000000"/>
      <name val="DejaVu Sans"/>
      <family val="2"/>
      <charset val="1"/>
    </font>
    <font>
      <sz val="12"/>
      <color rgb="FF000000"/>
      <name val="Calibri Light"/>
      <family val="2"/>
      <charset val="1"/>
    </font>
    <font>
      <b/>
      <sz val="16"/>
      <color rgb="FF007826"/>
      <name val="DejaVu Sans"/>
      <family val="2"/>
      <charset val="1"/>
    </font>
    <font>
      <b/>
      <sz val="14"/>
      <color rgb="FF000000"/>
      <name val="DejaVu Sans"/>
      <family val="2"/>
      <charset val="1"/>
    </font>
    <font>
      <b/>
      <sz val="12"/>
      <color rgb="FF000000"/>
      <name val="DejaVu Sans"/>
      <family val="2"/>
      <charset val="1"/>
    </font>
    <font>
      <sz val="12"/>
      <color rgb="FF000000"/>
      <name val="DejaVu Sans"/>
      <family val="2"/>
    </font>
    <font>
      <sz val="12"/>
      <color rgb="FF000000"/>
      <name val="DejaVu Sans"/>
      <family val="2"/>
      <charset val="1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Arial"/>
      <family val="2"/>
    </font>
    <font>
      <b/>
      <sz val="36"/>
      <color rgb="FFFFFFFF"/>
      <name val="Arial"/>
      <family val="2"/>
    </font>
    <font>
      <sz val="10"/>
      <color rgb="FF000000"/>
      <name val="Arial"/>
      <family val="2"/>
    </font>
    <font>
      <b/>
      <sz val="16"/>
      <color rgb="FF007826"/>
      <name val="Arial"/>
      <family val="2"/>
    </font>
    <font>
      <b/>
      <sz val="18"/>
      <color rgb="FFC9211E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6"/>
      <color theme="0"/>
      <name val="Arial"/>
      <family val="2"/>
    </font>
    <font>
      <b/>
      <sz val="12"/>
      <color rgb="FF000000"/>
      <name val="Arial"/>
      <family val="2"/>
    </font>
    <font>
      <i/>
      <sz val="12"/>
      <color rgb="FF000000"/>
      <name val="Arial"/>
      <family val="2"/>
    </font>
    <font>
      <b/>
      <sz val="16"/>
      <color rgb="FF000000"/>
      <name val="Arial"/>
      <family val="2"/>
    </font>
    <font>
      <b/>
      <sz val="16"/>
      <color rgb="FF008000"/>
      <name val="Arial"/>
      <family val="2"/>
    </font>
    <font>
      <b/>
      <sz val="10"/>
      <color rgb="FF00B0F0"/>
      <name val="Arial"/>
      <family val="2"/>
    </font>
    <font>
      <sz val="10"/>
      <color rgb="FF00B0F0"/>
      <name val="Arial"/>
      <family val="2"/>
    </font>
    <font>
      <sz val="12"/>
      <color rgb="FF00B0F0"/>
      <name val="Arial"/>
      <family val="2"/>
    </font>
    <font>
      <b/>
      <sz val="10"/>
      <name val="Arial"/>
      <family val="2"/>
    </font>
    <font>
      <sz val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D9D9D9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BFBFBF"/>
        <bgColor rgb="FFB2B2B2"/>
      </patternFill>
    </fill>
    <fill>
      <patternFill patternType="solid">
        <fgColor rgb="FF1D007D"/>
        <bgColor rgb="FF000080"/>
      </patternFill>
    </fill>
    <fill>
      <patternFill patternType="solid">
        <fgColor rgb="FFFFDD00"/>
        <bgColor rgb="FFFFFF00"/>
      </patternFill>
    </fill>
    <fill>
      <patternFill patternType="solid">
        <fgColor rgb="FFF36970"/>
        <bgColor rgb="FFFF6600"/>
      </patternFill>
    </fill>
    <fill>
      <patternFill patternType="solid">
        <fgColor rgb="FF00AB4E"/>
        <bgColor rgb="FF008080"/>
      </patternFill>
    </fill>
    <fill>
      <patternFill patternType="solid">
        <fgColor rgb="FFB2B2B2"/>
        <bgColor rgb="FFAFABAB"/>
      </patternFill>
    </fill>
    <fill>
      <patternFill patternType="solid">
        <fgColor rgb="FFF2F2F2"/>
        <bgColor rgb="FFFFFFFF"/>
      </patternFill>
    </fill>
    <fill>
      <patternFill patternType="solid">
        <fgColor rgb="FFFFFFD7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FD7"/>
        <bgColor indexed="64"/>
      </patternFill>
    </fill>
    <fill>
      <patternFill patternType="solid">
        <fgColor rgb="FF00B0F0"/>
        <bgColor rgb="FFFF6600"/>
      </patternFill>
    </fill>
    <fill>
      <patternFill patternType="solid">
        <fgColor rgb="FFF2F2F2"/>
        <bgColor indexed="64"/>
      </patternFill>
    </fill>
    <fill>
      <patternFill patternType="solid">
        <fgColor rgb="FF1D007D"/>
        <bgColor indexed="64"/>
      </patternFill>
    </fill>
    <fill>
      <patternFill patternType="solid">
        <fgColor rgb="FFFFDD00"/>
        <bgColor indexed="64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B2B2B2"/>
      </patternFill>
    </fill>
  </fills>
  <borders count="78">
    <border>
      <left/>
      <right/>
      <top/>
      <bottom/>
      <diagonal/>
    </border>
    <border>
      <left style="medium">
        <color rgb="FF1D007D"/>
      </left>
      <right/>
      <top style="medium">
        <color rgb="FF1D007D"/>
      </top>
      <bottom/>
      <diagonal/>
    </border>
    <border>
      <left/>
      <right/>
      <top style="medium">
        <color rgb="FF1D007D"/>
      </top>
      <bottom/>
      <diagonal/>
    </border>
    <border>
      <left/>
      <right style="medium">
        <color rgb="FF1D007D"/>
      </right>
      <top style="medium">
        <color rgb="FF1D007D"/>
      </top>
      <bottom/>
      <diagonal/>
    </border>
    <border>
      <left style="medium">
        <color rgb="FF1D007D"/>
      </left>
      <right/>
      <top/>
      <bottom/>
      <diagonal/>
    </border>
    <border>
      <left/>
      <right style="medium">
        <color rgb="FF1D007D"/>
      </right>
      <top/>
      <bottom/>
      <diagonal/>
    </border>
    <border>
      <left style="medium">
        <color rgb="FF1D007D"/>
      </left>
      <right/>
      <top/>
      <bottom style="medium">
        <color rgb="FF1D007D"/>
      </bottom>
      <diagonal/>
    </border>
    <border>
      <left/>
      <right/>
      <top/>
      <bottom style="medium">
        <color rgb="FF1D007D"/>
      </bottom>
      <diagonal/>
    </border>
    <border>
      <left/>
      <right style="medium">
        <color rgb="FF1D007D"/>
      </right>
      <top/>
      <bottom style="medium">
        <color rgb="FF1D007D"/>
      </bottom>
      <diagonal/>
    </border>
    <border>
      <left/>
      <right style="thin">
        <color rgb="FFAFABAB"/>
      </right>
      <top/>
      <bottom/>
      <diagonal/>
    </border>
    <border>
      <left style="thin">
        <color rgb="FFAFABAB"/>
      </left>
      <right style="thin">
        <color rgb="FFAFABAB"/>
      </right>
      <top style="thin">
        <color rgb="FFAFABAB"/>
      </top>
      <bottom style="double">
        <color auto="1"/>
      </bottom>
      <diagonal/>
    </border>
    <border>
      <left style="thin">
        <color rgb="FFAFABAB"/>
      </left>
      <right/>
      <top style="thin">
        <color rgb="FFAFABAB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rgb="FFAFABAB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rgb="FFAFABAB"/>
      </right>
      <top/>
      <bottom style="double">
        <color auto="1"/>
      </bottom>
      <diagonal/>
    </border>
    <border>
      <left style="thin">
        <color rgb="FFAFABAB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rgb="FFAFABAB"/>
      </bottom>
      <diagonal/>
    </border>
    <border>
      <left style="thin">
        <color auto="1"/>
      </left>
      <right style="thin">
        <color rgb="FFAFABAB"/>
      </right>
      <top/>
      <bottom style="thin">
        <color auto="1"/>
      </bottom>
      <diagonal/>
    </border>
    <border>
      <left style="thin">
        <color rgb="FFAFABAB"/>
      </left>
      <right/>
      <top/>
      <bottom style="thin">
        <color auto="1"/>
      </bottom>
      <diagonal/>
    </border>
    <border>
      <left style="thin">
        <color rgb="FFAFABAB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rgb="FFAFABAB"/>
      </top>
      <bottom style="thin">
        <color rgb="FFAFABAB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AFABAB"/>
      </top>
      <bottom style="thin">
        <color auto="1"/>
      </bottom>
      <diagonal/>
    </border>
    <border>
      <left style="thin">
        <color auto="1"/>
      </left>
      <right style="thin">
        <color rgb="FFAFABAB"/>
      </right>
      <top style="thin">
        <color auto="1"/>
      </top>
      <bottom style="thin">
        <color auto="1"/>
      </bottom>
      <diagonal/>
    </border>
    <border>
      <left style="thin">
        <color rgb="FFAFABAB"/>
      </left>
      <right/>
      <top style="thin">
        <color auto="1"/>
      </top>
      <bottom style="thin">
        <color auto="1"/>
      </bottom>
      <diagonal/>
    </border>
    <border>
      <left style="thin">
        <color rgb="FFAFABAB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FABAB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AFABAB"/>
      </bottom>
      <diagonal/>
    </border>
    <border>
      <left style="thin">
        <color rgb="FFAFABAB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AFABAB"/>
      </left>
      <right style="thin">
        <color auto="1"/>
      </right>
      <top style="thin">
        <color auto="1"/>
      </top>
      <bottom style="thin">
        <color rgb="FFAFABAB"/>
      </bottom>
      <diagonal/>
    </border>
    <border>
      <left style="thin">
        <color rgb="FFAFABAB"/>
      </left>
      <right style="thin">
        <color auto="1"/>
      </right>
      <top style="thin">
        <color rgb="FFAFABAB"/>
      </top>
      <bottom style="thin">
        <color rgb="FFAFABAB"/>
      </bottom>
      <diagonal/>
    </border>
    <border>
      <left style="thin">
        <color rgb="FFAFABAB"/>
      </left>
      <right style="thin">
        <color auto="1"/>
      </right>
      <top style="thin">
        <color rgb="FFAFABAB"/>
      </top>
      <bottom/>
      <diagonal/>
    </border>
    <border>
      <left style="thin">
        <color rgb="FFAFABAB"/>
      </left>
      <right style="thin">
        <color auto="1"/>
      </right>
      <top style="thin">
        <color rgb="FFAFABAB"/>
      </top>
      <bottom style="thin">
        <color auto="1"/>
      </bottom>
      <diagonal/>
    </border>
    <border>
      <left style="thin">
        <color rgb="FFAFABAB"/>
      </left>
      <right style="thin">
        <color auto="1"/>
      </right>
      <top/>
      <bottom style="thin">
        <color rgb="FFAFABAB"/>
      </bottom>
      <diagonal/>
    </border>
    <border>
      <left style="thin">
        <color rgb="FFAFABAB"/>
      </left>
      <right/>
      <top style="thin">
        <color rgb="FFAFABAB"/>
      </top>
      <bottom style="thin">
        <color rgb="FFAFABAB"/>
      </bottom>
      <diagonal/>
    </border>
    <border>
      <left style="thin">
        <color auto="1"/>
      </left>
      <right style="thin">
        <color rgb="FFAFABAB"/>
      </right>
      <top style="thin">
        <color auto="1"/>
      </top>
      <bottom style="thin">
        <color rgb="FFAFABAB"/>
      </bottom>
      <diagonal/>
    </border>
    <border>
      <left style="thin">
        <color auto="1"/>
      </left>
      <right style="thin">
        <color rgb="FFAFABAB"/>
      </right>
      <top style="thin">
        <color rgb="FFAFABAB"/>
      </top>
      <bottom style="thin">
        <color rgb="FFAFABAB"/>
      </bottom>
      <diagonal/>
    </border>
    <border>
      <left style="thin">
        <color auto="1"/>
      </left>
      <right style="thin">
        <color rgb="FFAFABAB"/>
      </right>
      <top style="thin">
        <color rgb="FFAFABAB"/>
      </top>
      <bottom style="thin">
        <color auto="1"/>
      </bottom>
      <diagonal/>
    </border>
    <border>
      <left style="thin">
        <color auto="1"/>
      </left>
      <right/>
      <top style="thin">
        <color rgb="FFAFABAB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rgb="FFAFABAB"/>
      </bottom>
      <diagonal/>
    </border>
    <border>
      <left style="thin">
        <color rgb="FFAFABAB"/>
      </left>
      <right/>
      <top style="thin">
        <color auto="1"/>
      </top>
      <bottom/>
      <diagonal/>
    </border>
    <border>
      <left style="thin">
        <color rgb="FFAFABAB"/>
      </left>
      <right/>
      <top/>
      <bottom/>
      <diagonal/>
    </border>
    <border>
      <left style="thin">
        <color auto="1"/>
      </left>
      <right style="thin">
        <color rgb="FFAFABAB"/>
      </right>
      <top style="thin">
        <color auto="1"/>
      </top>
      <bottom/>
      <diagonal/>
    </border>
    <border>
      <left style="thin">
        <color auto="1"/>
      </left>
      <right style="thin">
        <color rgb="FFAFABAB"/>
      </right>
      <top/>
      <bottom/>
      <diagonal/>
    </border>
    <border>
      <left style="thin">
        <color auto="1"/>
      </left>
      <right style="thin">
        <color auto="1"/>
      </right>
      <top style="thin">
        <color rgb="FFAFABAB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theme="0" tint="-0.34998626667073579"/>
      </bottom>
      <diagonal/>
    </border>
    <border>
      <left style="thin">
        <color auto="1"/>
      </left>
      <right style="thin">
        <color auto="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auto="1"/>
      </left>
      <right style="thin">
        <color auto="1"/>
      </right>
      <top style="thin">
        <color theme="0" tint="-0.34998626667073579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34998626667073579"/>
      </bottom>
      <diagonal/>
    </border>
    <border>
      <left style="thin">
        <color auto="1"/>
      </left>
      <right style="thin">
        <color auto="1"/>
      </right>
      <top style="thin">
        <color rgb="FFAFABAB"/>
      </top>
      <bottom style="thin">
        <color theme="0" tint="-0.34998626667073579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theme="0" tint="-0.34998626667073579"/>
      </top>
      <bottom/>
      <diagonal/>
    </border>
    <border>
      <left/>
      <right style="thin">
        <color auto="1"/>
      </right>
      <top style="thin">
        <color rgb="FFAFABAB"/>
      </top>
      <bottom style="thin">
        <color rgb="FFAFABAB"/>
      </bottom>
      <diagonal/>
    </border>
    <border>
      <left/>
      <right style="thin">
        <color auto="1"/>
      </right>
      <top style="thin">
        <color rgb="FFAFABAB"/>
      </top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232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justify"/>
    </xf>
    <xf numFmtId="0" fontId="5" fillId="0" borderId="0" xfId="0" applyFont="1"/>
    <xf numFmtId="0" fontId="5" fillId="3" borderId="1" xfId="0" applyFont="1" applyFill="1" applyBorder="1"/>
    <xf numFmtId="0" fontId="5" fillId="3" borderId="2" xfId="0" applyFont="1" applyFill="1" applyBorder="1" applyAlignment="1">
      <alignment horizontal="justify"/>
    </xf>
    <xf numFmtId="0" fontId="5" fillId="3" borderId="3" xfId="0" applyFont="1" applyFill="1" applyBorder="1"/>
    <xf numFmtId="0" fontId="5" fillId="3" borderId="4" xfId="0" applyFont="1" applyFill="1" applyBorder="1"/>
    <xf numFmtId="0" fontId="5" fillId="3" borderId="0" xfId="0" applyFont="1" applyFill="1" applyAlignment="1">
      <alignment horizontal="justify"/>
    </xf>
    <xf numFmtId="0" fontId="5" fillId="3" borderId="5" xfId="0" applyFont="1" applyFill="1" applyBorder="1"/>
    <xf numFmtId="0" fontId="5" fillId="3" borderId="6" xfId="0" applyFont="1" applyFill="1" applyBorder="1"/>
    <xf numFmtId="0" fontId="5" fillId="3" borderId="7" xfId="0" applyFont="1" applyFill="1" applyBorder="1" applyAlignment="1">
      <alignment horizontal="center" vertical="top" wrapText="1"/>
    </xf>
    <xf numFmtId="0" fontId="5" fillId="3" borderId="8" xfId="0" applyFont="1" applyFill="1" applyBorder="1"/>
    <xf numFmtId="0" fontId="5" fillId="0" borderId="0" xfId="0" applyFont="1" applyAlignment="1">
      <alignment horizontal="left" vertical="center" wrapText="1"/>
    </xf>
    <xf numFmtId="0" fontId="3" fillId="12" borderId="36" xfId="0" applyFont="1" applyFill="1" applyBorder="1" applyAlignment="1" applyProtection="1">
      <alignment horizontal="left"/>
      <protection hidden="1"/>
    </xf>
    <xf numFmtId="0" fontId="0" fillId="12" borderId="38" xfId="0" applyFill="1" applyBorder="1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hidden="1"/>
    </xf>
    <xf numFmtId="0" fontId="0" fillId="0" borderId="0" xfId="0" applyProtection="1">
      <protection hidden="1"/>
    </xf>
    <xf numFmtId="0" fontId="4" fillId="0" borderId="52" xfId="0" applyFont="1" applyBorder="1" applyAlignment="1" applyProtection="1">
      <alignment horizontal="left"/>
      <protection hidden="1"/>
    </xf>
    <xf numFmtId="0" fontId="0" fillId="0" borderId="26" xfId="0" applyBorder="1" applyAlignment="1" applyProtection="1">
      <alignment horizontal="center"/>
      <protection hidden="1"/>
    </xf>
    <xf numFmtId="0" fontId="4" fillId="0" borderId="25" xfId="0" applyFont="1" applyBorder="1" applyAlignment="1" applyProtection="1">
      <alignment horizontal="left"/>
      <protection hidden="1"/>
    </xf>
    <xf numFmtId="0" fontId="0" fillId="0" borderId="30" xfId="0" applyBorder="1" applyAlignment="1" applyProtection="1">
      <alignment horizontal="center"/>
      <protection hidden="1"/>
    </xf>
    <xf numFmtId="0" fontId="3" fillId="0" borderId="0" xfId="0" applyFont="1" applyAlignment="1" applyProtection="1">
      <alignment horizontal="left"/>
      <protection hidden="1"/>
    </xf>
    <xf numFmtId="0" fontId="2" fillId="10" borderId="22" xfId="0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left"/>
      <protection hidden="1"/>
    </xf>
    <xf numFmtId="0" fontId="4" fillId="12" borderId="12" xfId="0" applyFont="1" applyFill="1" applyBorder="1" applyAlignment="1" applyProtection="1">
      <alignment horizontal="center" vertical="center"/>
      <protection hidden="1"/>
    </xf>
    <xf numFmtId="0" fontId="4" fillId="12" borderId="38" xfId="0" applyFont="1" applyFill="1" applyBorder="1" applyAlignment="1" applyProtection="1">
      <alignment horizontal="center"/>
      <protection hidden="1"/>
    </xf>
    <xf numFmtId="0" fontId="4" fillId="0" borderId="52" xfId="0" applyFont="1" applyBorder="1" applyAlignment="1" applyProtection="1">
      <alignment horizontal="right"/>
      <protection hidden="1"/>
    </xf>
    <xf numFmtId="0" fontId="4" fillId="0" borderId="26" xfId="0" applyFont="1" applyBorder="1" applyAlignment="1" applyProtection="1">
      <alignment horizontal="center"/>
      <protection hidden="1"/>
    </xf>
    <xf numFmtId="0" fontId="4" fillId="0" borderId="25" xfId="0" applyFont="1" applyBorder="1" applyAlignment="1" applyProtection="1">
      <alignment horizontal="right"/>
      <protection hidden="1"/>
    </xf>
    <xf numFmtId="0" fontId="4" fillId="0" borderId="30" xfId="0" applyFont="1" applyBorder="1" applyAlignment="1" applyProtection="1">
      <alignment horizontal="center"/>
      <protection hidden="1"/>
    </xf>
    <xf numFmtId="0" fontId="4" fillId="0" borderId="0" xfId="0" applyFont="1" applyAlignment="1" applyProtection="1">
      <alignment horizontal="left"/>
      <protection hidden="1"/>
    </xf>
    <xf numFmtId="0" fontId="9" fillId="0" borderId="0" xfId="0" applyFont="1"/>
    <xf numFmtId="0" fontId="8" fillId="7" borderId="19" xfId="0" applyFont="1" applyFill="1" applyBorder="1" applyAlignment="1">
      <alignment horizontal="center" vertical="center" wrapText="1"/>
    </xf>
    <xf numFmtId="0" fontId="8" fillId="7" borderId="20" xfId="0" applyFont="1" applyFill="1" applyBorder="1" applyAlignment="1">
      <alignment horizontal="center" vertical="center" wrapText="1"/>
    </xf>
    <xf numFmtId="0" fontId="8" fillId="8" borderId="19" xfId="0" applyFont="1" applyFill="1" applyBorder="1" applyAlignment="1">
      <alignment horizontal="center" vertical="center" wrapText="1"/>
    </xf>
    <xf numFmtId="0" fontId="8" fillId="8" borderId="20" xfId="0" applyFont="1" applyFill="1" applyBorder="1" applyAlignment="1">
      <alignment horizontal="center" vertical="center"/>
    </xf>
    <xf numFmtId="0" fontId="12" fillId="10" borderId="22" xfId="0" applyFont="1" applyFill="1" applyBorder="1" applyAlignment="1">
      <alignment horizontal="center" vertical="center" wrapText="1"/>
    </xf>
    <xf numFmtId="0" fontId="8" fillId="10" borderId="24" xfId="0" applyFont="1" applyFill="1" applyBorder="1" applyAlignment="1">
      <alignment horizontal="center" vertical="center"/>
    </xf>
    <xf numFmtId="0" fontId="8" fillId="11" borderId="0" xfId="0" applyFont="1" applyFill="1" applyAlignment="1" applyProtection="1">
      <alignment horizontal="center" vertical="center"/>
      <protection hidden="1"/>
    </xf>
    <xf numFmtId="0" fontId="8" fillId="11" borderId="26" xfId="0" applyFont="1" applyFill="1" applyBorder="1" applyAlignment="1" applyProtection="1">
      <alignment horizontal="center" vertical="center"/>
      <protection hidden="1"/>
    </xf>
    <xf numFmtId="0" fontId="11" fillId="9" borderId="0" xfId="0" applyFont="1" applyFill="1" applyAlignment="1" applyProtection="1">
      <alignment horizontal="center" vertical="center"/>
      <protection hidden="1"/>
    </xf>
    <xf numFmtId="9" fontId="11" fillId="9" borderId="0" xfId="1" applyFont="1" applyFill="1" applyAlignment="1" applyProtection="1">
      <alignment horizontal="center" vertical="center"/>
      <protection hidden="1"/>
    </xf>
    <xf numFmtId="0" fontId="11" fillId="9" borderId="37" xfId="0" applyFont="1" applyFill="1" applyBorder="1" applyAlignment="1" applyProtection="1">
      <alignment horizontal="left" vertical="center"/>
      <protection hidden="1"/>
    </xf>
    <xf numFmtId="0" fontId="11" fillId="10" borderId="27" xfId="0" applyFont="1" applyFill="1" applyBorder="1" applyAlignment="1">
      <alignment horizontal="left" vertical="center" wrapText="1"/>
    </xf>
    <xf numFmtId="0" fontId="11" fillId="9" borderId="0" xfId="0" applyFont="1" applyFill="1" applyAlignment="1" applyProtection="1">
      <alignment horizontal="left" vertical="center"/>
      <protection hidden="1"/>
    </xf>
    <xf numFmtId="0" fontId="11" fillId="10" borderId="28" xfId="0" applyFont="1" applyFill="1" applyBorder="1" applyAlignment="1">
      <alignment horizontal="left" vertical="center" wrapText="1"/>
    </xf>
    <xf numFmtId="0" fontId="8" fillId="11" borderId="29" xfId="0" applyFont="1" applyFill="1" applyBorder="1" applyAlignment="1" applyProtection="1">
      <alignment horizontal="center" vertical="center"/>
      <protection hidden="1"/>
    </xf>
    <xf numFmtId="0" fontId="8" fillId="11" borderId="30" xfId="0" applyFont="1" applyFill="1" applyBorder="1" applyAlignment="1" applyProtection="1">
      <alignment horizontal="center" vertical="center"/>
      <protection hidden="1"/>
    </xf>
    <xf numFmtId="0" fontId="11" fillId="9" borderId="25" xfId="0" applyFont="1" applyFill="1" applyBorder="1" applyAlignment="1" applyProtection="1">
      <alignment horizontal="center" vertical="center"/>
      <protection hidden="1"/>
    </xf>
    <xf numFmtId="0" fontId="11" fillId="9" borderId="29" xfId="0" applyFont="1" applyFill="1" applyBorder="1" applyAlignment="1" applyProtection="1">
      <alignment horizontal="center" vertical="center"/>
      <protection hidden="1"/>
    </xf>
    <xf numFmtId="9" fontId="11" fillId="9" borderId="29" xfId="1" applyFont="1" applyFill="1" applyBorder="1" applyAlignment="1" applyProtection="1">
      <alignment horizontal="center" vertical="center"/>
      <protection hidden="1"/>
    </xf>
    <xf numFmtId="0" fontId="11" fillId="10" borderId="31" xfId="0" applyFont="1" applyFill="1" applyBorder="1" applyAlignment="1">
      <alignment horizontal="left" vertical="center" wrapText="1"/>
    </xf>
    <xf numFmtId="0" fontId="8" fillId="10" borderId="32" xfId="0" applyFont="1" applyFill="1" applyBorder="1" applyAlignment="1">
      <alignment horizontal="center" vertical="center" wrapText="1"/>
    </xf>
    <xf numFmtId="0" fontId="11" fillId="10" borderId="33" xfId="0" applyFont="1" applyFill="1" applyBorder="1" applyAlignment="1">
      <alignment horizontal="left" vertical="center" wrapText="1"/>
    </xf>
    <xf numFmtId="0" fontId="12" fillId="10" borderId="32" xfId="0" applyFont="1" applyFill="1" applyBorder="1" applyAlignment="1">
      <alignment horizontal="center" vertical="center" wrapText="1"/>
    </xf>
    <xf numFmtId="0" fontId="12" fillId="10" borderId="34" xfId="0" applyFont="1" applyFill="1" applyBorder="1" applyAlignment="1">
      <alignment horizontal="center" vertical="center" wrapText="1"/>
    </xf>
    <xf numFmtId="0" fontId="8" fillId="10" borderId="32" xfId="0" applyFont="1" applyFill="1" applyBorder="1" applyAlignment="1">
      <alignment horizontal="center" vertical="center"/>
    </xf>
    <xf numFmtId="0" fontId="8" fillId="10" borderId="35" xfId="0" applyFont="1" applyFill="1" applyBorder="1" applyAlignment="1">
      <alignment horizontal="center" vertical="center"/>
    </xf>
    <xf numFmtId="0" fontId="8" fillId="11" borderId="36" xfId="0" applyFont="1" applyFill="1" applyBorder="1" applyAlignment="1" applyProtection="1">
      <alignment horizontal="center" vertical="center"/>
      <protection hidden="1"/>
    </xf>
    <xf numFmtId="0" fontId="8" fillId="11" borderId="37" xfId="0" applyFont="1" applyFill="1" applyBorder="1" applyAlignment="1" applyProtection="1">
      <alignment horizontal="center" vertical="center"/>
      <protection hidden="1"/>
    </xf>
    <xf numFmtId="0" fontId="8" fillId="11" borderId="38" xfId="0" applyFont="1" applyFill="1" applyBorder="1" applyAlignment="1" applyProtection="1">
      <alignment horizontal="center" vertical="center"/>
      <protection hidden="1"/>
    </xf>
    <xf numFmtId="9" fontId="11" fillId="9" borderId="0" xfId="1" applyFont="1" applyFill="1" applyBorder="1" applyAlignment="1" applyProtection="1">
      <alignment horizontal="center" vertical="center"/>
      <protection hidden="1"/>
    </xf>
    <xf numFmtId="9" fontId="11" fillId="9" borderId="37" xfId="1" applyFont="1" applyFill="1" applyBorder="1" applyAlignment="1" applyProtection="1">
      <alignment horizontal="center" vertical="center"/>
      <protection hidden="1"/>
    </xf>
    <xf numFmtId="0" fontId="11" fillId="9" borderId="37" xfId="0" applyFont="1" applyFill="1" applyBorder="1" applyAlignment="1" applyProtection="1">
      <alignment horizontal="center" vertical="center"/>
      <protection hidden="1"/>
    </xf>
    <xf numFmtId="0" fontId="11" fillId="10" borderId="39" xfId="0" applyFont="1" applyFill="1" applyBorder="1" applyAlignment="1">
      <alignment horizontal="left" vertical="center" wrapText="1"/>
    </xf>
    <xf numFmtId="0" fontId="8" fillId="10" borderId="43" xfId="0" applyFont="1" applyFill="1" applyBorder="1" applyAlignment="1">
      <alignment horizontal="center" vertical="center"/>
    </xf>
    <xf numFmtId="0" fontId="13" fillId="10" borderId="34" xfId="0" applyFont="1" applyFill="1" applyBorder="1" applyAlignment="1">
      <alignment horizontal="center" vertical="center"/>
    </xf>
    <xf numFmtId="0" fontId="8" fillId="10" borderId="34" xfId="0" applyFont="1" applyFill="1" applyBorder="1" applyAlignment="1">
      <alignment horizontal="center" vertical="center" wrapText="1"/>
    </xf>
    <xf numFmtId="0" fontId="8" fillId="10" borderId="40" xfId="0" applyFont="1" applyFill="1" applyBorder="1" applyAlignment="1">
      <alignment horizontal="center" vertical="center"/>
    </xf>
    <xf numFmtId="0" fontId="11" fillId="9" borderId="29" xfId="0" applyFont="1" applyFill="1" applyBorder="1" applyAlignment="1" applyProtection="1">
      <alignment horizontal="left" vertical="center"/>
      <protection hidden="1"/>
    </xf>
    <xf numFmtId="0" fontId="8" fillId="10" borderId="42" xfId="0" applyFont="1" applyFill="1" applyBorder="1" applyAlignment="1">
      <alignment horizontal="center" vertical="center"/>
    </xf>
    <xf numFmtId="0" fontId="8" fillId="10" borderId="44" xfId="0" applyFont="1" applyFill="1" applyBorder="1" applyAlignment="1">
      <alignment horizontal="center" vertical="center"/>
    </xf>
    <xf numFmtId="0" fontId="8" fillId="10" borderId="42" xfId="0" applyFont="1" applyFill="1" applyBorder="1" applyAlignment="1">
      <alignment horizontal="center" vertical="center" wrapText="1"/>
    </xf>
    <xf numFmtId="0" fontId="8" fillId="10" borderId="46" xfId="0" applyFont="1" applyFill="1" applyBorder="1" applyAlignment="1">
      <alignment horizontal="center" vertical="center" wrapText="1"/>
    </xf>
    <xf numFmtId="0" fontId="8" fillId="10" borderId="43" xfId="0" applyFont="1" applyFill="1" applyBorder="1" applyAlignment="1">
      <alignment horizontal="center" vertical="center" wrapText="1"/>
    </xf>
    <xf numFmtId="0" fontId="12" fillId="10" borderId="34" xfId="0" applyFont="1" applyFill="1" applyBorder="1" applyAlignment="1">
      <alignment horizontal="center" vertical="center"/>
    </xf>
    <xf numFmtId="0" fontId="11" fillId="9" borderId="30" xfId="0" applyFont="1" applyFill="1" applyBorder="1" applyAlignment="1" applyProtection="1">
      <alignment horizontal="left" vertical="center"/>
      <protection hidden="1"/>
    </xf>
    <xf numFmtId="0" fontId="11" fillId="10" borderId="41" xfId="0" applyFont="1" applyFill="1" applyBorder="1" applyAlignment="1">
      <alignment horizontal="left" vertical="center" wrapText="1"/>
    </xf>
    <xf numFmtId="0" fontId="11" fillId="10" borderId="55" xfId="0" applyFont="1" applyFill="1" applyBorder="1" applyAlignment="1">
      <alignment horizontal="left" vertical="center" wrapText="1"/>
    </xf>
    <xf numFmtId="0" fontId="8" fillId="10" borderId="59" xfId="0" applyFont="1" applyFill="1" applyBorder="1" applyAlignment="1">
      <alignment horizontal="center" vertical="center"/>
    </xf>
    <xf numFmtId="0" fontId="9" fillId="10" borderId="34" xfId="0" applyFont="1" applyFill="1" applyBorder="1"/>
    <xf numFmtId="0" fontId="8" fillId="10" borderId="49" xfId="0" applyFont="1" applyFill="1" applyBorder="1" applyAlignment="1">
      <alignment horizontal="center" vertical="center"/>
    </xf>
    <xf numFmtId="0" fontId="8" fillId="10" borderId="46" xfId="0" applyFont="1" applyFill="1" applyBorder="1" applyAlignment="1">
      <alignment horizontal="center" vertical="center"/>
    </xf>
    <xf numFmtId="0" fontId="8" fillId="10" borderId="45" xfId="0" applyFont="1" applyFill="1" applyBorder="1" applyAlignment="1">
      <alignment horizontal="center" vertical="center"/>
    </xf>
    <xf numFmtId="0" fontId="8" fillId="10" borderId="48" xfId="0" applyFont="1" applyFill="1" applyBorder="1" applyAlignment="1">
      <alignment horizontal="center" vertical="center"/>
    </xf>
    <xf numFmtId="0" fontId="8" fillId="10" borderId="50" xfId="0" applyFont="1" applyFill="1" applyBorder="1" applyAlignment="1">
      <alignment horizontal="center" vertical="center"/>
    </xf>
    <xf numFmtId="0" fontId="14" fillId="4" borderId="0" xfId="0" applyFont="1" applyFill="1"/>
    <xf numFmtId="0" fontId="15" fillId="4" borderId="0" xfId="0" applyFont="1" applyFill="1"/>
    <xf numFmtId="0" fontId="15" fillId="4" borderId="9" xfId="0" applyFont="1" applyFill="1" applyBorder="1"/>
    <xf numFmtId="0" fontId="15" fillId="4" borderId="0" xfId="0" applyFont="1" applyFill="1" applyProtection="1">
      <protection hidden="1"/>
    </xf>
    <xf numFmtId="0" fontId="9" fillId="3" borderId="0" xfId="0" applyFont="1" applyFill="1" applyAlignment="1">
      <alignment horizontal="justify" vertical="top"/>
    </xf>
    <xf numFmtId="0" fontId="9" fillId="3" borderId="0" xfId="0" applyFont="1" applyFill="1" applyAlignment="1">
      <alignment horizontal="justify" vertical="top" wrapText="1"/>
    </xf>
    <xf numFmtId="0" fontId="9" fillId="3" borderId="0" xfId="0" applyFont="1" applyFill="1" applyAlignment="1">
      <alignment horizontal="center" vertical="top"/>
    </xf>
    <xf numFmtId="0" fontId="9" fillId="3" borderId="0" xfId="0" applyFont="1" applyFill="1" applyAlignment="1">
      <alignment horizontal="center" vertical="top" wrapText="1"/>
    </xf>
    <xf numFmtId="0" fontId="9" fillId="15" borderId="64" xfId="0" applyFont="1" applyFill="1" applyBorder="1" applyAlignment="1">
      <alignment horizontal="left"/>
    </xf>
    <xf numFmtId="0" fontId="17" fillId="15" borderId="0" xfId="0" applyFont="1" applyFill="1" applyAlignment="1">
      <alignment horizontal="center"/>
    </xf>
    <xf numFmtId="0" fontId="9" fillId="15" borderId="64" xfId="0" applyFont="1" applyFill="1" applyBorder="1"/>
    <xf numFmtId="0" fontId="18" fillId="15" borderId="0" xfId="0" applyFont="1" applyFill="1" applyAlignment="1">
      <alignment horizontal="center"/>
    </xf>
    <xf numFmtId="0" fontId="18" fillId="15" borderId="65" xfId="0" applyFont="1" applyFill="1" applyBorder="1" applyAlignment="1">
      <alignment horizontal="center"/>
    </xf>
    <xf numFmtId="9" fontId="17" fillId="15" borderId="65" xfId="0" applyNumberFormat="1" applyFont="1" applyFill="1" applyBorder="1" applyAlignment="1">
      <alignment horizontal="center"/>
    </xf>
    <xf numFmtId="164" fontId="17" fillId="15" borderId="65" xfId="0" applyNumberFormat="1" applyFont="1" applyFill="1" applyBorder="1" applyAlignment="1">
      <alignment horizontal="center"/>
    </xf>
    <xf numFmtId="0" fontId="17" fillId="15" borderId="0" xfId="0" applyFont="1" applyFill="1"/>
    <xf numFmtId="0" fontId="17" fillId="15" borderId="65" xfId="0" applyFont="1" applyFill="1" applyBorder="1"/>
    <xf numFmtId="165" fontId="17" fillId="15" borderId="0" xfId="0" applyNumberFormat="1" applyFont="1" applyFill="1" applyAlignment="1">
      <alignment horizontal="center"/>
    </xf>
    <xf numFmtId="164" fontId="19" fillId="17" borderId="68" xfId="0" applyNumberFormat="1" applyFont="1" applyFill="1" applyBorder="1" applyAlignment="1">
      <alignment horizontal="center"/>
    </xf>
    <xf numFmtId="0" fontId="12" fillId="0" borderId="22" xfId="0" applyFont="1" applyBorder="1" applyAlignment="1" applyProtection="1">
      <alignment horizontal="center" vertical="center" wrapText="1"/>
      <protection locked="0"/>
    </xf>
    <xf numFmtId="0" fontId="8" fillId="0" borderId="12" xfId="0" applyFont="1" applyBorder="1" applyAlignment="1" applyProtection="1">
      <alignment horizontal="center" vertical="center"/>
      <protection locked="0"/>
    </xf>
    <xf numFmtId="0" fontId="11" fillId="0" borderId="27" xfId="0" applyFont="1" applyBorder="1" applyAlignment="1" applyProtection="1">
      <alignment horizontal="left" vertical="center" wrapText="1"/>
      <protection locked="0"/>
    </xf>
    <xf numFmtId="0" fontId="11" fillId="0" borderId="28" xfId="0" applyFont="1" applyBorder="1" applyAlignment="1" applyProtection="1">
      <alignment horizontal="left" vertical="center" wrapText="1"/>
      <protection locked="0"/>
    </xf>
    <xf numFmtId="0" fontId="11" fillId="0" borderId="31" xfId="0" applyFont="1" applyBorder="1" applyAlignment="1" applyProtection="1">
      <alignment horizontal="left" vertical="center" wrapText="1"/>
      <protection locked="0"/>
    </xf>
    <xf numFmtId="0" fontId="11" fillId="0" borderId="39" xfId="0" applyFont="1" applyBorder="1" applyAlignment="1" applyProtection="1">
      <alignment horizontal="left" vertical="center" wrapText="1"/>
      <protection locked="0"/>
    </xf>
    <xf numFmtId="0" fontId="11" fillId="0" borderId="55" xfId="0" applyFont="1" applyBorder="1" applyAlignment="1" applyProtection="1">
      <alignment horizontal="left" vertical="center" wrapText="1"/>
      <protection locked="0"/>
    </xf>
    <xf numFmtId="0" fontId="11" fillId="0" borderId="60" xfId="0" applyFont="1" applyBorder="1" applyAlignment="1" applyProtection="1">
      <alignment horizontal="left" vertical="center" wrapText="1"/>
      <protection locked="0"/>
    </xf>
    <xf numFmtId="0" fontId="11" fillId="0" borderId="41" xfId="0" applyFont="1" applyBorder="1" applyAlignment="1" applyProtection="1">
      <alignment horizontal="left" vertical="center" wrapText="1"/>
      <protection locked="0"/>
    </xf>
    <xf numFmtId="0" fontId="8" fillId="0" borderId="69" xfId="0" applyFont="1" applyBorder="1" applyAlignment="1" applyProtection="1">
      <alignment horizontal="center" vertical="center"/>
      <protection locked="0"/>
    </xf>
    <xf numFmtId="0" fontId="8" fillId="0" borderId="70" xfId="0" applyFont="1" applyBorder="1" applyAlignment="1" applyProtection="1">
      <alignment horizontal="center" vertical="center"/>
      <protection locked="0"/>
    </xf>
    <xf numFmtId="0" fontId="8" fillId="0" borderId="71" xfId="0" applyFont="1" applyBorder="1" applyAlignment="1" applyProtection="1">
      <alignment horizontal="center" vertical="center"/>
      <protection locked="0"/>
    </xf>
    <xf numFmtId="0" fontId="8" fillId="0" borderId="72" xfId="0" applyFont="1" applyBorder="1" applyAlignment="1" applyProtection="1">
      <alignment horizontal="center" vertical="center"/>
      <protection locked="0"/>
    </xf>
    <xf numFmtId="0" fontId="11" fillId="0" borderId="72" xfId="0" applyFont="1" applyBorder="1" applyAlignment="1" applyProtection="1">
      <alignment horizontal="left" vertical="center" wrapText="1"/>
      <protection locked="0"/>
    </xf>
    <xf numFmtId="0" fontId="11" fillId="0" borderId="70" xfId="0" applyFont="1" applyBorder="1" applyAlignment="1" applyProtection="1">
      <alignment horizontal="left" vertical="center" wrapText="1"/>
      <protection locked="0"/>
    </xf>
    <xf numFmtId="0" fontId="11" fillId="0" borderId="71" xfId="0" applyFont="1" applyBorder="1" applyAlignment="1" applyProtection="1">
      <alignment horizontal="left" vertical="center" wrapText="1"/>
      <protection locked="0"/>
    </xf>
    <xf numFmtId="0" fontId="11" fillId="10" borderId="73" xfId="0" applyFont="1" applyFill="1" applyBorder="1" applyAlignment="1">
      <alignment horizontal="left" vertical="center" wrapText="1"/>
    </xf>
    <xf numFmtId="0" fontId="15" fillId="20" borderId="0" xfId="0" applyFont="1" applyFill="1" applyProtection="1">
      <protection hidden="1"/>
    </xf>
    <xf numFmtId="0" fontId="20" fillId="18" borderId="36" xfId="0" applyFont="1" applyFill="1" applyBorder="1" applyAlignment="1" applyProtection="1">
      <alignment horizontal="center" vertical="center"/>
      <protection hidden="1"/>
    </xf>
    <xf numFmtId="0" fontId="8" fillId="10" borderId="45" xfId="0" applyFont="1" applyFill="1" applyBorder="1" applyAlignment="1">
      <alignment horizontal="center" vertical="center" wrapText="1"/>
    </xf>
    <xf numFmtId="0" fontId="21" fillId="10" borderId="46" xfId="0" applyFont="1" applyFill="1" applyBorder="1" applyAlignment="1">
      <alignment horizontal="center" vertical="center"/>
    </xf>
    <xf numFmtId="0" fontId="21" fillId="11" borderId="0" xfId="0" applyFont="1" applyFill="1" applyAlignment="1" applyProtection="1">
      <alignment horizontal="center" vertical="center"/>
      <protection hidden="1"/>
    </xf>
    <xf numFmtId="0" fontId="21" fillId="11" borderId="26" xfId="0" applyFont="1" applyFill="1" applyBorder="1" applyAlignment="1" applyProtection="1">
      <alignment horizontal="center" vertical="center"/>
      <protection hidden="1"/>
    </xf>
    <xf numFmtId="0" fontId="21" fillId="0" borderId="70" xfId="0" applyFont="1" applyBorder="1" applyAlignment="1" applyProtection="1">
      <alignment horizontal="center" vertical="center"/>
      <protection locked="0"/>
    </xf>
    <xf numFmtId="0" fontId="22" fillId="0" borderId="70" xfId="0" applyFont="1" applyBorder="1" applyAlignment="1" applyProtection="1">
      <alignment horizontal="left" vertical="center" wrapText="1"/>
      <protection locked="0"/>
    </xf>
    <xf numFmtId="0" fontId="23" fillId="0" borderId="0" xfId="0" applyFont="1"/>
    <xf numFmtId="0" fontId="22" fillId="10" borderId="28" xfId="0" applyFont="1" applyFill="1" applyBorder="1" applyAlignment="1">
      <alignment horizontal="left" vertical="center" wrapText="1"/>
    </xf>
    <xf numFmtId="0" fontId="8" fillId="0" borderId="75" xfId="0" applyFont="1" applyBorder="1" applyAlignment="1" applyProtection="1">
      <alignment horizontal="center" vertical="center"/>
      <protection locked="0"/>
    </xf>
    <xf numFmtId="0" fontId="22" fillId="10" borderId="31" xfId="0" applyFont="1" applyFill="1" applyBorder="1" applyAlignment="1">
      <alignment horizontal="left" vertical="center" wrapText="1"/>
    </xf>
    <xf numFmtId="0" fontId="21" fillId="10" borderId="24" xfId="0" applyFont="1" applyFill="1" applyBorder="1" applyAlignment="1">
      <alignment horizontal="center" vertical="center" wrapText="1"/>
    </xf>
    <xf numFmtId="0" fontId="21" fillId="10" borderId="43" xfId="0" applyFont="1" applyFill="1" applyBorder="1" applyAlignment="1">
      <alignment horizontal="center" vertical="center" wrapText="1"/>
    </xf>
    <xf numFmtId="0" fontId="21" fillId="10" borderId="43" xfId="0" applyFont="1" applyFill="1" applyBorder="1" applyAlignment="1">
      <alignment horizontal="center" vertical="center"/>
    </xf>
    <xf numFmtId="0" fontId="22" fillId="10" borderId="60" xfId="0" applyFont="1" applyFill="1" applyBorder="1" applyAlignment="1">
      <alignment horizontal="left" vertical="center" wrapText="1"/>
    </xf>
    <xf numFmtId="0" fontId="22" fillId="10" borderId="39" xfId="0" applyFont="1" applyFill="1" applyBorder="1" applyAlignment="1">
      <alignment horizontal="left" vertical="center" wrapText="1"/>
    </xf>
    <xf numFmtId="0" fontId="21" fillId="10" borderId="42" xfId="0" applyFont="1" applyFill="1" applyBorder="1" applyAlignment="1">
      <alignment horizontal="center" vertical="center"/>
    </xf>
    <xf numFmtId="0" fontId="21" fillId="10" borderId="45" xfId="0" applyFont="1" applyFill="1" applyBorder="1" applyAlignment="1">
      <alignment horizontal="center" vertical="center"/>
    </xf>
    <xf numFmtId="0" fontId="21" fillId="11" borderId="29" xfId="0" applyFont="1" applyFill="1" applyBorder="1" applyAlignment="1" applyProtection="1">
      <alignment horizontal="center" vertical="center"/>
      <protection hidden="1"/>
    </xf>
    <xf numFmtId="0" fontId="21" fillId="11" borderId="30" xfId="0" applyFont="1" applyFill="1" applyBorder="1" applyAlignment="1" applyProtection="1">
      <alignment horizontal="center" vertical="center"/>
      <protection hidden="1"/>
    </xf>
    <xf numFmtId="0" fontId="24" fillId="11" borderId="29" xfId="0" applyFont="1" applyFill="1" applyBorder="1" applyAlignment="1" applyProtection="1">
      <alignment horizontal="center" vertical="center"/>
      <protection hidden="1"/>
    </xf>
    <xf numFmtId="0" fontId="11" fillId="10" borderId="76" xfId="0" applyFont="1" applyFill="1" applyBorder="1" applyAlignment="1">
      <alignment horizontal="left" vertical="center" wrapText="1"/>
    </xf>
    <xf numFmtId="0" fontId="22" fillId="10" borderId="77" xfId="0" applyFont="1" applyFill="1" applyBorder="1" applyAlignment="1">
      <alignment horizontal="left" vertical="center" wrapText="1"/>
    </xf>
    <xf numFmtId="0" fontId="21" fillId="11" borderId="37" xfId="0" applyFont="1" applyFill="1" applyBorder="1" applyAlignment="1" applyProtection="1">
      <alignment horizontal="center" vertical="center"/>
      <protection hidden="1"/>
    </xf>
    <xf numFmtId="0" fontId="21" fillId="11" borderId="38" xfId="0" applyFont="1" applyFill="1" applyBorder="1" applyAlignment="1" applyProtection="1">
      <alignment horizontal="center" vertical="center"/>
      <protection hidden="1"/>
    </xf>
    <xf numFmtId="0" fontId="9" fillId="0" borderId="0" xfId="0" applyFont="1" applyAlignment="1">
      <alignment horizontal="center" vertical="top" wrapText="1"/>
    </xf>
    <xf numFmtId="0" fontId="8" fillId="10" borderId="24" xfId="0" applyFont="1" applyFill="1" applyBorder="1" applyAlignment="1">
      <alignment horizontal="center" vertical="center" wrapText="1"/>
    </xf>
    <xf numFmtId="0" fontId="8" fillId="10" borderId="24" xfId="0" applyFont="1" applyFill="1" applyBorder="1" applyAlignment="1">
      <alignment horizontal="center" vertical="center"/>
    </xf>
    <xf numFmtId="0" fontId="8" fillId="10" borderId="34" xfId="0" applyFont="1" applyFill="1" applyBorder="1" applyAlignment="1">
      <alignment horizontal="center" vertical="center" wrapText="1"/>
    </xf>
    <xf numFmtId="0" fontId="8" fillId="10" borderId="34" xfId="0" applyFont="1" applyFill="1" applyBorder="1" applyAlignment="1">
      <alignment horizontal="center" vertical="center"/>
    </xf>
    <xf numFmtId="0" fontId="8" fillId="10" borderId="42" xfId="0" applyFont="1" applyFill="1" applyBorder="1" applyAlignment="1">
      <alignment horizontal="center" vertical="center"/>
    </xf>
    <xf numFmtId="0" fontId="9" fillId="10" borderId="34" xfId="0" applyFont="1" applyFill="1" applyBorder="1"/>
    <xf numFmtId="0" fontId="8" fillId="10" borderId="12" xfId="0" applyFont="1" applyFill="1" applyBorder="1" applyAlignment="1">
      <alignment horizontal="center" vertical="center"/>
    </xf>
    <xf numFmtId="0" fontId="8" fillId="10" borderId="55" xfId="0" applyFont="1" applyFill="1" applyBorder="1" applyAlignment="1">
      <alignment horizontal="center" vertical="center"/>
    </xf>
    <xf numFmtId="0" fontId="8" fillId="10" borderId="45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8" fillId="6" borderId="10" xfId="0" applyFont="1" applyFill="1" applyBorder="1" applyAlignment="1">
      <alignment horizontal="center" vertical="center"/>
    </xf>
    <xf numFmtId="0" fontId="8" fillId="6" borderId="11" xfId="0" applyFont="1" applyFill="1" applyBorder="1" applyAlignment="1">
      <alignment horizontal="center" vertical="center" wrapText="1"/>
    </xf>
    <xf numFmtId="0" fontId="8" fillId="10" borderId="32" xfId="0" applyFont="1" applyFill="1" applyBorder="1" applyAlignment="1">
      <alignment horizontal="center" vertical="center" wrapText="1"/>
    </xf>
    <xf numFmtId="0" fontId="11" fillId="10" borderId="33" xfId="0" applyFont="1" applyFill="1" applyBorder="1" applyAlignment="1">
      <alignment horizontal="left" vertical="center" wrapText="1"/>
    </xf>
    <xf numFmtId="0" fontId="8" fillId="10" borderId="32" xfId="0" applyFont="1" applyFill="1" applyBorder="1" applyAlignment="1">
      <alignment horizontal="center" vertical="center"/>
    </xf>
    <xf numFmtId="0" fontId="20" fillId="18" borderId="36" xfId="0" applyFont="1" applyFill="1" applyBorder="1" applyAlignment="1" applyProtection="1">
      <alignment horizontal="center" vertical="center"/>
      <protection hidden="1"/>
    </xf>
    <xf numFmtId="0" fontId="10" fillId="5" borderId="47" xfId="0" applyFont="1" applyFill="1" applyBorder="1" applyAlignment="1">
      <alignment horizontal="center" vertical="center" textRotation="90"/>
    </xf>
    <xf numFmtId="0" fontId="8" fillId="2" borderId="13" xfId="0" applyFont="1" applyFill="1" applyBorder="1" applyAlignment="1" applyProtection="1">
      <alignment horizontal="center" vertical="center" wrapText="1"/>
      <protection hidden="1"/>
    </xf>
    <xf numFmtId="0" fontId="8" fillId="2" borderId="14" xfId="0" applyFont="1" applyFill="1" applyBorder="1" applyAlignment="1" applyProtection="1">
      <alignment horizontal="center" vertical="center" wrapText="1"/>
      <protection hidden="1"/>
    </xf>
    <xf numFmtId="0" fontId="8" fillId="2" borderId="15" xfId="0" applyFont="1" applyFill="1" applyBorder="1" applyAlignment="1" applyProtection="1">
      <alignment horizontal="center" vertical="center" wrapText="1"/>
      <protection hidden="1"/>
    </xf>
    <xf numFmtId="0" fontId="8" fillId="2" borderId="16" xfId="0" applyFont="1" applyFill="1" applyBorder="1" applyAlignment="1" applyProtection="1">
      <alignment horizontal="center" vertical="center" wrapText="1"/>
      <protection hidden="1"/>
    </xf>
    <xf numFmtId="0" fontId="8" fillId="2" borderId="26" xfId="0" applyFont="1" applyFill="1" applyBorder="1" applyAlignment="1">
      <alignment horizontal="center" vertical="center" wrapText="1"/>
    </xf>
    <xf numFmtId="0" fontId="8" fillId="2" borderId="74" xfId="0" applyFont="1" applyFill="1" applyBorder="1" applyAlignment="1">
      <alignment horizontal="center" vertical="center" wrapText="1"/>
    </xf>
    <xf numFmtId="0" fontId="8" fillId="8" borderId="54" xfId="0" applyFont="1" applyFill="1" applyBorder="1" applyAlignment="1">
      <alignment horizontal="center" vertical="center"/>
    </xf>
    <xf numFmtId="0" fontId="8" fillId="8" borderId="37" xfId="0" applyFont="1" applyFill="1" applyBorder="1" applyAlignment="1">
      <alignment horizontal="center" vertical="center"/>
    </xf>
    <xf numFmtId="0" fontId="8" fillId="8" borderId="38" xfId="0" applyFont="1" applyFill="1" applyBorder="1" applyAlignment="1">
      <alignment horizontal="center" vertical="center"/>
    </xf>
    <xf numFmtId="0" fontId="8" fillId="9" borderId="16" xfId="0" applyFont="1" applyFill="1" applyBorder="1" applyAlignment="1" applyProtection="1">
      <alignment horizontal="center" vertical="center" wrapText="1"/>
      <protection hidden="1"/>
    </xf>
    <xf numFmtId="0" fontId="7" fillId="5" borderId="17" xfId="0" applyFont="1" applyFill="1" applyBorder="1" applyAlignment="1">
      <alignment horizontal="center" vertical="center" wrapText="1"/>
    </xf>
    <xf numFmtId="0" fontId="7" fillId="5" borderId="18" xfId="0" applyFont="1" applyFill="1" applyBorder="1" applyAlignment="1">
      <alignment horizontal="center" vertical="center" wrapText="1"/>
    </xf>
    <xf numFmtId="0" fontId="10" fillId="5" borderId="21" xfId="0" applyFont="1" applyFill="1" applyBorder="1" applyAlignment="1">
      <alignment horizontal="center" vertical="center" textRotation="90" wrapText="1"/>
    </xf>
    <xf numFmtId="0" fontId="8" fillId="10" borderId="22" xfId="0" applyFont="1" applyFill="1" applyBorder="1" applyAlignment="1">
      <alignment horizontal="center" vertical="center" wrapText="1"/>
    </xf>
    <xf numFmtId="0" fontId="11" fillId="10" borderId="23" xfId="0" applyFont="1" applyFill="1" applyBorder="1" applyAlignment="1">
      <alignment horizontal="left" vertical="center" wrapText="1"/>
    </xf>
    <xf numFmtId="0" fontId="8" fillId="10" borderId="22" xfId="0" applyFont="1" applyFill="1" applyBorder="1" applyAlignment="1">
      <alignment horizontal="center" vertical="center"/>
    </xf>
    <xf numFmtId="0" fontId="8" fillId="11" borderId="25" xfId="0" applyFont="1" applyFill="1" applyBorder="1" applyAlignment="1" applyProtection="1">
      <alignment horizontal="center" vertical="center"/>
      <protection hidden="1"/>
    </xf>
    <xf numFmtId="0" fontId="8" fillId="11" borderId="36" xfId="0" applyFont="1" applyFill="1" applyBorder="1" applyAlignment="1" applyProtection="1">
      <alignment horizontal="center" vertical="center"/>
      <protection hidden="1"/>
    </xf>
    <xf numFmtId="0" fontId="8" fillId="11" borderId="36" xfId="0" applyFont="1" applyFill="1" applyBorder="1" applyAlignment="1" applyProtection="1">
      <alignment horizontal="center" vertical="center" wrapText="1"/>
      <protection hidden="1"/>
    </xf>
    <xf numFmtId="0" fontId="8" fillId="13" borderId="36" xfId="0" applyFont="1" applyFill="1" applyBorder="1" applyAlignment="1" applyProtection="1">
      <alignment horizontal="center" vertical="center" wrapText="1"/>
      <protection hidden="1"/>
    </xf>
    <xf numFmtId="0" fontId="8" fillId="13" borderId="36" xfId="0" applyFont="1" applyFill="1" applyBorder="1" applyAlignment="1" applyProtection="1">
      <alignment horizontal="center" vertical="center"/>
      <protection hidden="1"/>
    </xf>
    <xf numFmtId="0" fontId="20" fillId="18" borderId="54" xfId="0" applyFont="1" applyFill="1" applyBorder="1" applyAlignment="1" applyProtection="1">
      <alignment horizontal="center" vertical="center"/>
      <protection hidden="1"/>
    </xf>
    <xf numFmtId="0" fontId="20" fillId="18" borderId="52" xfId="0" applyFont="1" applyFill="1" applyBorder="1" applyAlignment="1" applyProtection="1">
      <alignment horizontal="center" vertical="center"/>
      <protection hidden="1"/>
    </xf>
    <xf numFmtId="0" fontId="20" fillId="18" borderId="25" xfId="0" applyFont="1" applyFill="1" applyBorder="1" applyAlignment="1" applyProtection="1">
      <alignment horizontal="center" vertical="center"/>
      <protection hidden="1"/>
    </xf>
    <xf numFmtId="0" fontId="11" fillId="10" borderId="56" xfId="0" applyFont="1" applyFill="1" applyBorder="1" applyAlignment="1">
      <alignment horizontal="center" vertical="center" wrapText="1"/>
    </xf>
    <xf numFmtId="0" fontId="11" fillId="10" borderId="57" xfId="0" applyFont="1" applyFill="1" applyBorder="1" applyAlignment="1">
      <alignment horizontal="center" vertical="center" wrapText="1"/>
    </xf>
    <xf numFmtId="0" fontId="11" fillId="10" borderId="23" xfId="0" applyFont="1" applyFill="1" applyBorder="1" applyAlignment="1">
      <alignment horizontal="center" vertical="center" wrapText="1"/>
    </xf>
    <xf numFmtId="0" fontId="8" fillId="10" borderId="58" xfId="0" applyFont="1" applyFill="1" applyBorder="1" applyAlignment="1">
      <alignment horizontal="center" vertical="center"/>
    </xf>
    <xf numFmtId="0" fontId="8" fillId="10" borderId="59" xfId="0" applyFont="1" applyFill="1" applyBorder="1" applyAlignment="1">
      <alignment horizontal="center" vertical="center"/>
    </xf>
    <xf numFmtId="0" fontId="8" fillId="11" borderId="54" xfId="0" applyFont="1" applyFill="1" applyBorder="1" applyAlignment="1" applyProtection="1">
      <alignment horizontal="center" vertical="center"/>
      <protection hidden="1"/>
    </xf>
    <xf numFmtId="0" fontId="8" fillId="11" borderId="52" xfId="0" applyFont="1" applyFill="1" applyBorder="1" applyAlignment="1" applyProtection="1">
      <alignment horizontal="center" vertical="center"/>
      <protection hidden="1"/>
    </xf>
    <xf numFmtId="0" fontId="8" fillId="10" borderId="58" xfId="0" applyFont="1" applyFill="1" applyBorder="1" applyAlignment="1">
      <alignment horizontal="center" vertical="center" wrapText="1"/>
    </xf>
    <xf numFmtId="0" fontId="8" fillId="10" borderId="59" xfId="0" applyFont="1" applyFill="1" applyBorder="1" applyAlignment="1">
      <alignment horizontal="center" vertical="center" wrapText="1"/>
    </xf>
    <xf numFmtId="0" fontId="8" fillId="10" borderId="48" xfId="0" applyFont="1" applyFill="1" applyBorder="1" applyAlignment="1">
      <alignment horizontal="center" vertical="center" wrapText="1"/>
    </xf>
    <xf numFmtId="0" fontId="8" fillId="10" borderId="49" xfId="0" applyFont="1" applyFill="1" applyBorder="1" applyAlignment="1">
      <alignment horizontal="center" vertical="center"/>
    </xf>
    <xf numFmtId="0" fontId="20" fillId="18" borderId="36" xfId="0" applyFont="1" applyFill="1" applyBorder="1" applyAlignment="1" applyProtection="1">
      <alignment horizontal="center" vertical="center" wrapText="1"/>
      <protection hidden="1"/>
    </xf>
    <xf numFmtId="0" fontId="8" fillId="10" borderId="48" xfId="0" applyFont="1" applyFill="1" applyBorder="1" applyAlignment="1">
      <alignment horizontal="center" vertical="center"/>
    </xf>
    <xf numFmtId="0" fontId="11" fillId="10" borderId="35" xfId="0" applyFont="1" applyFill="1" applyBorder="1" applyAlignment="1">
      <alignment horizontal="left" vertical="center" wrapText="1"/>
    </xf>
    <xf numFmtId="0" fontId="11" fillId="10" borderId="40" xfId="0" applyFont="1" applyFill="1" applyBorder="1" applyAlignment="1">
      <alignment horizontal="left" vertical="center" wrapText="1"/>
    </xf>
    <xf numFmtId="0" fontId="11" fillId="10" borderId="24" xfId="0" applyFont="1" applyFill="1" applyBorder="1" applyAlignment="1">
      <alignment horizontal="left" vertical="center" wrapText="1"/>
    </xf>
    <xf numFmtId="0" fontId="8" fillId="10" borderId="35" xfId="0" applyFont="1" applyFill="1" applyBorder="1" applyAlignment="1">
      <alignment horizontal="center" vertical="center" wrapText="1"/>
    </xf>
    <xf numFmtId="0" fontId="8" fillId="10" borderId="40" xfId="0" applyFont="1" applyFill="1" applyBorder="1" applyAlignment="1">
      <alignment horizontal="center" vertical="center" wrapText="1"/>
    </xf>
    <xf numFmtId="0" fontId="21" fillId="10" borderId="32" xfId="0" applyFont="1" applyFill="1" applyBorder="1" applyAlignment="1">
      <alignment horizontal="center" vertical="center" wrapText="1"/>
    </xf>
    <xf numFmtId="0" fontId="22" fillId="10" borderId="33" xfId="0" applyFont="1" applyFill="1" applyBorder="1" applyAlignment="1">
      <alignment horizontal="left" vertical="center" wrapText="1"/>
    </xf>
    <xf numFmtId="0" fontId="21" fillId="10" borderId="32" xfId="0" applyFont="1" applyFill="1" applyBorder="1" applyAlignment="1">
      <alignment horizontal="center" vertical="center"/>
    </xf>
    <xf numFmtId="0" fontId="21" fillId="11" borderId="36" xfId="0" applyFont="1" applyFill="1" applyBorder="1" applyAlignment="1" applyProtection="1">
      <alignment horizontal="center" vertical="center"/>
      <protection hidden="1"/>
    </xf>
    <xf numFmtId="0" fontId="10" fillId="5" borderId="51" xfId="0" applyFont="1" applyFill="1" applyBorder="1" applyAlignment="1">
      <alignment horizontal="center" vertical="center" textRotation="90" wrapText="1"/>
    </xf>
    <xf numFmtId="0" fontId="8" fillId="10" borderId="50" xfId="0" applyFont="1" applyFill="1" applyBorder="1" applyAlignment="1">
      <alignment horizontal="center" vertical="center"/>
    </xf>
    <xf numFmtId="0" fontId="8" fillId="10" borderId="43" xfId="0" applyFont="1" applyFill="1" applyBorder="1" applyAlignment="1">
      <alignment horizontal="center" vertical="center"/>
    </xf>
    <xf numFmtId="0" fontId="8" fillId="7" borderId="54" xfId="0" applyFont="1" applyFill="1" applyBorder="1" applyAlignment="1">
      <alignment horizontal="center" vertical="center" wrapText="1"/>
    </xf>
    <xf numFmtId="0" fontId="8" fillId="7" borderId="37" xfId="0" applyFont="1" applyFill="1" applyBorder="1" applyAlignment="1">
      <alignment horizontal="center" vertical="center" wrapText="1"/>
    </xf>
    <xf numFmtId="0" fontId="8" fillId="14" borderId="37" xfId="0" applyFont="1" applyFill="1" applyBorder="1" applyAlignment="1">
      <alignment horizontal="center" vertical="center" wrapText="1"/>
    </xf>
    <xf numFmtId="0" fontId="8" fillId="14" borderId="16" xfId="0" applyFont="1" applyFill="1" applyBorder="1" applyAlignment="1">
      <alignment horizontal="center" vertical="center" wrapText="1"/>
    </xf>
    <xf numFmtId="0" fontId="20" fillId="19" borderId="36" xfId="0" applyFont="1" applyFill="1" applyBorder="1" applyAlignment="1" applyProtection="1">
      <alignment horizontal="center" vertical="center" wrapText="1"/>
      <protection hidden="1"/>
    </xf>
    <xf numFmtId="0" fontId="20" fillId="19" borderId="36" xfId="0" applyFont="1" applyFill="1" applyBorder="1" applyAlignment="1" applyProtection="1">
      <alignment horizontal="center" vertical="center"/>
      <protection hidden="1"/>
    </xf>
    <xf numFmtId="0" fontId="9" fillId="10" borderId="32" xfId="0" applyFont="1" applyFill="1" applyBorder="1"/>
    <xf numFmtId="0" fontId="16" fillId="16" borderId="61" xfId="0" applyFont="1" applyFill="1" applyBorder="1" applyAlignment="1">
      <alignment horizontal="center"/>
    </xf>
    <xf numFmtId="0" fontId="16" fillId="16" borderId="62" xfId="0" applyFont="1" applyFill="1" applyBorder="1" applyAlignment="1">
      <alignment horizontal="center"/>
    </xf>
    <xf numFmtId="0" fontId="16" fillId="16" borderId="63" xfId="0" applyFont="1" applyFill="1" applyBorder="1" applyAlignment="1">
      <alignment horizontal="center"/>
    </xf>
    <xf numFmtId="0" fontId="19" fillId="17" borderId="66" xfId="0" applyFont="1" applyFill="1" applyBorder="1" applyAlignment="1">
      <alignment horizontal="center"/>
    </xf>
    <xf numFmtId="0" fontId="19" fillId="17" borderId="67" xfId="0" applyFont="1" applyFill="1" applyBorder="1" applyAlignment="1">
      <alignment horizontal="center"/>
    </xf>
    <xf numFmtId="0" fontId="17" fillId="15" borderId="0" xfId="0" applyFont="1" applyFill="1" applyAlignment="1" applyProtection="1">
      <alignment horizontal="center"/>
      <protection locked="0"/>
    </xf>
    <xf numFmtId="0" fontId="17" fillId="15" borderId="65" xfId="0" applyFont="1" applyFill="1" applyBorder="1" applyAlignment="1" applyProtection="1">
      <alignment horizontal="center"/>
      <protection locked="0"/>
    </xf>
    <xf numFmtId="0" fontId="4" fillId="12" borderId="53" xfId="0" applyFont="1" applyFill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left" vertical="center" wrapText="1"/>
      <protection hidden="1"/>
    </xf>
  </cellXfs>
  <cellStyles count="2">
    <cellStyle name="Normale" xfId="0" builtinId="0"/>
    <cellStyle name="Percentuale" xfId="1" builtinId="5"/>
  </cellStyles>
  <dxfs count="4">
    <dxf>
      <fill>
        <patternFill patternType="none">
          <bgColor auto="1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7826"/>
      <rgbColor rgb="FF1D007D"/>
      <rgbColor rgb="FF808000"/>
      <rgbColor rgb="FF800080"/>
      <rgbColor rgb="FF008080"/>
      <rgbColor rgb="FFBFBFBF"/>
      <rgbColor rgb="FF808080"/>
      <rgbColor rgb="FFB2B2B2"/>
      <rgbColor rgb="FF993366"/>
      <rgbColor rgb="FFFFFFD7"/>
      <rgbColor rgb="FFF2F2F2"/>
      <rgbColor rgb="FF660066"/>
      <rgbColor rgb="FFF3697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D00"/>
      <rgbColor rgb="FFFF9900"/>
      <rgbColor rgb="FFFF6600"/>
      <rgbColor rgb="FF666699"/>
      <rgbColor rgb="FFAFABAB"/>
      <rgbColor rgb="FF003366"/>
      <rgbColor rgb="FF00AB4E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8000"/>
      <color rgb="FFF2F2F2"/>
      <color rgb="FFFFDD00"/>
      <color rgb="FF1D007D"/>
      <color rgb="FFFFFF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1828800</xdr:colOff>
      <xdr:row>0</xdr:row>
      <xdr:rowOff>77760</xdr:rowOff>
    </xdr:from>
    <xdr:to>
      <xdr:col>1</xdr:col>
      <xdr:colOff>5276400</xdr:colOff>
      <xdr:row>1</xdr:row>
      <xdr:rowOff>50405</xdr:rowOff>
    </xdr:to>
    <xdr:pic>
      <xdr:nvPicPr>
        <xdr:cNvPr id="2" name="Immagin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022560" y="77760"/>
          <a:ext cx="3462840" cy="183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3483420</xdr:colOff>
      <xdr:row>13</xdr:row>
      <xdr:rowOff>148845</xdr:rowOff>
    </xdr:from>
    <xdr:to>
      <xdr:col>1</xdr:col>
      <xdr:colOff>4517940</xdr:colOff>
      <xdr:row>14</xdr:row>
      <xdr:rowOff>495</xdr:rowOff>
    </xdr:to>
    <xdr:pic>
      <xdr:nvPicPr>
        <xdr:cNvPr id="3" name="Immagin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3807270" y="10569195"/>
          <a:ext cx="1030710" cy="38505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showGridLines="0" topLeftCell="A3" zoomScaleNormal="100" workbookViewId="0"/>
  </sheetViews>
  <sheetFormatPr baseColWidth="10" defaultColWidth="8.33203125" defaultRowHeight="16"/>
  <cols>
    <col min="1" max="1" width="4" style="1" customWidth="1"/>
    <col min="2" max="2" width="95.83203125" style="2" customWidth="1"/>
    <col min="3" max="3" width="4" style="1" customWidth="1"/>
  </cols>
  <sheetData>
    <row r="1" spans="1:4" ht="145.5" customHeight="1">
      <c r="A1" s="4"/>
      <c r="B1" s="5"/>
      <c r="C1" s="6"/>
      <c r="D1" s="3"/>
    </row>
    <row r="2" spans="1:4">
      <c r="A2" s="7"/>
      <c r="B2" s="8"/>
      <c r="C2" s="9"/>
      <c r="D2" s="3"/>
    </row>
    <row r="3" spans="1:4" ht="119">
      <c r="A3" s="7"/>
      <c r="B3" s="91" t="s">
        <v>568</v>
      </c>
      <c r="C3" s="9"/>
      <c r="D3" s="3"/>
    </row>
    <row r="4" spans="1:4">
      <c r="A4" s="7"/>
      <c r="B4" s="91"/>
      <c r="C4" s="9"/>
      <c r="D4" s="3"/>
    </row>
    <row r="5" spans="1:4" ht="153">
      <c r="A5" s="7"/>
      <c r="B5" s="92" t="s">
        <v>569</v>
      </c>
      <c r="C5" s="9"/>
      <c r="D5" s="3"/>
    </row>
    <row r="6" spans="1:4">
      <c r="A6" s="7"/>
      <c r="B6" s="91"/>
      <c r="C6" s="9"/>
      <c r="D6" s="3"/>
    </row>
    <row r="7" spans="1:4" ht="356">
      <c r="A7" s="7"/>
      <c r="B7" s="92" t="s">
        <v>570</v>
      </c>
      <c r="C7" s="9"/>
      <c r="D7" s="3"/>
    </row>
    <row r="8" spans="1:4">
      <c r="A8" s="7"/>
      <c r="B8" s="92"/>
      <c r="C8" s="9"/>
      <c r="D8" s="3"/>
    </row>
    <row r="9" spans="1:4" ht="68">
      <c r="A9" s="7"/>
      <c r="B9" s="92" t="s">
        <v>465</v>
      </c>
      <c r="C9" s="9"/>
      <c r="D9" s="3"/>
    </row>
    <row r="10" spans="1:4">
      <c r="A10" s="7"/>
      <c r="B10" s="91"/>
      <c r="C10" s="9"/>
      <c r="D10" s="3"/>
    </row>
    <row r="11" spans="1:4" ht="110" customHeight="1">
      <c r="A11" s="7"/>
      <c r="B11" s="92" t="s">
        <v>571</v>
      </c>
      <c r="C11" s="9"/>
      <c r="D11" s="3"/>
    </row>
    <row r="12" spans="1:4">
      <c r="A12" s="7"/>
      <c r="B12" s="91"/>
      <c r="C12" s="9"/>
      <c r="D12" s="3"/>
    </row>
    <row r="13" spans="1:4" ht="85">
      <c r="A13" s="7"/>
      <c r="B13" s="91" t="s">
        <v>0</v>
      </c>
      <c r="C13" s="9"/>
      <c r="D13" s="3"/>
    </row>
    <row r="14" spans="1:4" ht="42" customHeight="1">
      <c r="A14" s="7"/>
      <c r="B14" s="91"/>
      <c r="C14" s="9"/>
      <c r="D14" s="3"/>
    </row>
    <row r="15" spans="1:4">
      <c r="A15" s="7"/>
      <c r="B15" s="93"/>
      <c r="C15" s="9"/>
      <c r="D15" s="3"/>
    </row>
    <row r="16" spans="1:4" ht="119">
      <c r="A16" s="7"/>
      <c r="B16" s="149" t="s">
        <v>573</v>
      </c>
      <c r="C16" s="9"/>
      <c r="D16" s="3"/>
    </row>
    <row r="17" spans="1:4" ht="119">
      <c r="A17" s="7"/>
      <c r="B17" s="94" t="s">
        <v>574</v>
      </c>
      <c r="C17" s="9"/>
      <c r="D17" s="3"/>
    </row>
    <row r="18" spans="1:4" ht="12.75" customHeight="1" thickBot="1">
      <c r="A18" s="10"/>
      <c r="B18" s="11"/>
      <c r="C18" s="12"/>
      <c r="D18" s="3"/>
    </row>
  </sheetData>
  <pageMargins left="0.7" right="0.7" top="0.51180555555555596" bottom="0.51180555555555596" header="0.511811023622047" footer="0.511811023622047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53"/>
  <sheetViews>
    <sheetView tabSelected="1" zoomScaleNormal="13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1" sqref="F1:F2"/>
    </sheetView>
  </sheetViews>
  <sheetFormatPr baseColWidth="10" defaultColWidth="8.33203125" defaultRowHeight="16" zeroHeight="1"/>
  <cols>
    <col min="1" max="1" width="8.1640625" style="87" customWidth="1"/>
    <col min="2" max="2" width="7" style="88" customWidth="1"/>
    <col min="3" max="3" width="26.1640625" style="87" customWidth="1"/>
    <col min="4" max="6" width="11" style="87" customWidth="1"/>
    <col min="7" max="7" width="11" style="123" hidden="1" customWidth="1"/>
    <col min="8" max="8" width="9" style="88" customWidth="1"/>
    <col min="9" max="10" width="10" style="89" customWidth="1"/>
    <col min="11" max="12" width="8.1640625" style="90" hidden="1" customWidth="1"/>
    <col min="13" max="14" width="7" style="90" hidden="1" customWidth="1"/>
    <col min="15" max="15" width="9.1640625" style="90" hidden="1" customWidth="1"/>
    <col min="16" max="16" width="7.6640625" style="90" hidden="1" customWidth="1"/>
    <col min="17" max="17" width="9.1640625" style="90" hidden="1" customWidth="1"/>
    <col min="18" max="18" width="9.83203125" style="90" hidden="1" customWidth="1"/>
    <col min="19" max="22" width="15.5" style="90" hidden="1" customWidth="1"/>
    <col min="23" max="23" width="18" style="90" hidden="1" customWidth="1"/>
    <col min="24" max="24" width="94.1640625" style="87" customWidth="1"/>
    <col min="25" max="25" width="7.6640625" style="88" customWidth="1"/>
    <col min="26" max="26" width="36.83203125" style="87" customWidth="1"/>
    <col min="27" max="16384" width="8.33203125" style="32"/>
  </cols>
  <sheetData>
    <row r="1" spans="1:26" ht="26.25" customHeight="1" thickBot="1">
      <c r="A1" s="159" t="s">
        <v>1</v>
      </c>
      <c r="B1" s="160" t="s">
        <v>2</v>
      </c>
      <c r="C1" s="161" t="s">
        <v>178</v>
      </c>
      <c r="D1" s="216" t="s">
        <v>4</v>
      </c>
      <c r="E1" s="217"/>
      <c r="F1" s="218" t="s">
        <v>464</v>
      </c>
      <c r="G1" s="171" t="s">
        <v>477</v>
      </c>
      <c r="H1" s="173" t="s">
        <v>5</v>
      </c>
      <c r="I1" s="174"/>
      <c r="J1" s="175"/>
      <c r="K1" s="167" t="s">
        <v>185</v>
      </c>
      <c r="L1" s="167" t="s">
        <v>461</v>
      </c>
      <c r="M1" s="168" t="s">
        <v>6</v>
      </c>
      <c r="N1" s="169" t="s">
        <v>460</v>
      </c>
      <c r="O1" s="169" t="s">
        <v>7</v>
      </c>
      <c r="P1" s="170" t="s">
        <v>459</v>
      </c>
      <c r="Q1" s="170" t="s">
        <v>8</v>
      </c>
      <c r="R1" s="170" t="s">
        <v>9</v>
      </c>
      <c r="S1" s="170" t="s">
        <v>10</v>
      </c>
      <c r="T1" s="170" t="s">
        <v>458</v>
      </c>
      <c r="U1" s="170" t="s">
        <v>455</v>
      </c>
      <c r="V1" s="170" t="s">
        <v>456</v>
      </c>
      <c r="W1" s="176" t="s">
        <v>11</v>
      </c>
      <c r="X1" s="178" t="s">
        <v>3</v>
      </c>
      <c r="Y1" s="177" t="s">
        <v>277</v>
      </c>
      <c r="Z1" s="178" t="s">
        <v>12</v>
      </c>
    </row>
    <row r="2" spans="1:26" ht="26.25" customHeight="1" thickTop="1" thickBot="1">
      <c r="A2" s="159"/>
      <c r="B2" s="160"/>
      <c r="C2" s="161"/>
      <c r="D2" s="33" t="s">
        <v>13</v>
      </c>
      <c r="E2" s="34" t="s">
        <v>14</v>
      </c>
      <c r="F2" s="219"/>
      <c r="G2" s="172"/>
      <c r="H2" s="35" t="s">
        <v>15</v>
      </c>
      <c r="I2" s="36" t="s">
        <v>478</v>
      </c>
      <c r="J2" s="36" t="s">
        <v>479</v>
      </c>
      <c r="K2" s="167"/>
      <c r="L2" s="167"/>
      <c r="M2" s="168"/>
      <c r="N2" s="169"/>
      <c r="O2" s="169"/>
      <c r="P2" s="170"/>
      <c r="Q2" s="170"/>
      <c r="R2" s="170"/>
      <c r="S2" s="170"/>
      <c r="T2" s="170"/>
      <c r="U2" s="170"/>
      <c r="V2" s="170"/>
      <c r="W2" s="176"/>
      <c r="X2" s="178"/>
      <c r="Y2" s="177"/>
      <c r="Z2" s="178"/>
    </row>
    <row r="3" spans="1:26" ht="14.25" customHeight="1" thickTop="1">
      <c r="A3" s="179" t="s">
        <v>16</v>
      </c>
      <c r="B3" s="180" t="s">
        <v>17</v>
      </c>
      <c r="C3" s="181" t="s">
        <v>179</v>
      </c>
      <c r="D3" s="37" t="s">
        <v>18</v>
      </c>
      <c r="E3" s="37" t="s">
        <v>18</v>
      </c>
      <c r="F3" s="106" t="s">
        <v>18</v>
      </c>
      <c r="G3" s="190" t="str">
        <f>IF(L3&gt;0,"✔","")</f>
        <v>✔</v>
      </c>
      <c r="H3" s="182" t="s">
        <v>19</v>
      </c>
      <c r="I3" s="151" t="s">
        <v>20</v>
      </c>
      <c r="J3" s="150" t="s">
        <v>534</v>
      </c>
      <c r="K3" s="183">
        <v>2</v>
      </c>
      <c r="L3" s="183">
        <f>IF(COUNTA(F3:F7)&lt;&gt;0,K3,0)</f>
        <v>2</v>
      </c>
      <c r="M3" s="39">
        <v>2</v>
      </c>
      <c r="N3" s="39">
        <f t="shared" ref="N3:N72" si="0">IF(F3&lt;&gt;"",M3,0)</f>
        <v>2</v>
      </c>
      <c r="O3" s="40" t="s">
        <v>21</v>
      </c>
      <c r="P3" s="41" cm="1">
        <f t="array" aca="1" ref="P3" ca="1">IF(F3&lt;&gt;"",SUMPRODUCT(MAX((INDIRECT(ADDRESS(1,COLUMN(K$1),2) &amp;":"&amp; ADDRESS(ROW(),COLUMN(K$1),4))&lt;&gt;"")*(ROW(INDIRECT(ADDRESS(1,COLUMN(K$1),2) &amp;":"&amp; ADDRESS(ROW(),COLUMN(K$1),4)))))),239)</f>
        <v>3</v>
      </c>
      <c r="Q3" s="41" t="str">
        <f t="shared" ref="Q3:Q64" ca="1" si="1">IF(Y3&lt;&gt;"",VLOOKUP(Y3,INDIRECT(O3),2,0),"")</f>
        <v/>
      </c>
      <c r="R3" s="41" t="str">
        <f t="shared" ref="R3:R72" ca="1" si="2">IF(Q3&lt;&gt;"",IF(F3&lt;&gt;"",Q3*M3,0),"")</f>
        <v/>
      </c>
      <c r="S3" s="41" t="str">
        <f t="shared" ref="S3:S72" ca="1" si="3">IF(R3&lt;&gt;"",IF(R3&lt;&gt;0,R3*INDIRECT(ADDRESS(P3,COLUMN(K$1),4,)),0),"")</f>
        <v/>
      </c>
      <c r="T3" s="42" t="str">
        <f t="shared" ref="T3:T33" ca="1" si="4">IF(R3&lt;&gt;"",R3/SUMIFS(M$3:M$253,P$3:P$253,P3),"")</f>
        <v/>
      </c>
      <c r="U3" s="42" t="str">
        <f t="shared" ref="U3:U33" ca="1" si="5">IF(R3&lt;&gt;"",SUMIFS(T$3:T$253,P$3:P$253,P3),"")</f>
        <v/>
      </c>
      <c r="V3" s="41">
        <f t="shared" ref="V3:V66" ca="1" si="6">IFERROR(INDEX(K:K,P3),0)</f>
        <v>2</v>
      </c>
      <c r="W3" s="43" t="str">
        <f t="shared" ref="W3:W65" ca="1" si="7">ADDRESS(ROW(INDIRECT(O3)),COLUMN(INDIRECT(O3)),1,1,"Appoggio")&amp;":"&amp;ADDRESS(ROW(INDIRECT(O3))+ROWS(INDIRECT(O3))-1,COLUMN(INDIRECT(O3)),1,1)</f>
        <v>Appoggio!$A$11:$A$13</v>
      </c>
      <c r="X3" s="44" t="s">
        <v>180</v>
      </c>
      <c r="Y3" s="115"/>
      <c r="Z3" s="108"/>
    </row>
    <row r="4" spans="1:26" ht="14.25" customHeight="1">
      <c r="A4" s="179"/>
      <c r="B4" s="180"/>
      <c r="C4" s="181"/>
      <c r="D4" s="37" t="s">
        <v>18</v>
      </c>
      <c r="E4" s="37" t="s">
        <v>18</v>
      </c>
      <c r="F4" s="106" t="s">
        <v>18</v>
      </c>
      <c r="G4" s="190"/>
      <c r="H4" s="182"/>
      <c r="I4" s="151"/>
      <c r="J4" s="151"/>
      <c r="K4" s="183"/>
      <c r="L4" s="183"/>
      <c r="M4" s="39">
        <v>1</v>
      </c>
      <c r="N4" s="39">
        <f t="shared" si="0"/>
        <v>1</v>
      </c>
      <c r="O4" s="40" t="s">
        <v>21</v>
      </c>
      <c r="P4" s="41" cm="1">
        <f t="array" aca="1" ref="P4" ca="1">IF(F4&lt;&gt;"",SUMPRODUCT(MAX((INDIRECT(ADDRESS(1,COLUMN(K$1),2) &amp;":"&amp; ADDRESS(ROW(),COLUMN(K$1),4))&lt;&gt;"")*(ROW(INDIRECT(ADDRESS(1,COLUMN(K$1),2) &amp;":"&amp; ADDRESS(ROW(),COLUMN(K$1),4)))))),239)</f>
        <v>3</v>
      </c>
      <c r="Q4" s="41" t="str">
        <f t="shared" ca="1" si="1"/>
        <v/>
      </c>
      <c r="R4" s="41" t="str">
        <f t="shared" ca="1" si="2"/>
        <v/>
      </c>
      <c r="S4" s="41" t="str">
        <f t="shared" ca="1" si="3"/>
        <v/>
      </c>
      <c r="T4" s="42" t="str">
        <f t="shared" ca="1" si="4"/>
        <v/>
      </c>
      <c r="U4" s="42" t="str">
        <f t="shared" ca="1" si="5"/>
        <v/>
      </c>
      <c r="V4" s="41">
        <f t="shared" ca="1" si="6"/>
        <v>2</v>
      </c>
      <c r="W4" s="45" t="str">
        <f t="shared" ca="1" si="7"/>
        <v>Appoggio!$A$11:$A$13</v>
      </c>
      <c r="X4" s="46" t="s">
        <v>181</v>
      </c>
      <c r="Y4" s="116"/>
      <c r="Z4" s="109"/>
    </row>
    <row r="5" spans="1:26" ht="14.25" customHeight="1">
      <c r="A5" s="179"/>
      <c r="B5" s="180"/>
      <c r="C5" s="181"/>
      <c r="D5" s="37" t="s">
        <v>18</v>
      </c>
      <c r="E5" s="37" t="s">
        <v>18</v>
      </c>
      <c r="F5" s="106" t="s">
        <v>18</v>
      </c>
      <c r="G5" s="190"/>
      <c r="H5" s="182"/>
      <c r="I5" s="151"/>
      <c r="J5" s="151"/>
      <c r="K5" s="183"/>
      <c r="L5" s="183"/>
      <c r="M5" s="39">
        <v>3</v>
      </c>
      <c r="N5" s="39">
        <f t="shared" si="0"/>
        <v>3</v>
      </c>
      <c r="O5" s="40" t="s">
        <v>21</v>
      </c>
      <c r="P5" s="41" cm="1">
        <f t="array" aca="1" ref="P5" ca="1">IF(F5&lt;&gt;"",SUMPRODUCT(MAX((INDIRECT(ADDRESS(1,COLUMN(K$1),2) &amp;":"&amp; ADDRESS(ROW(),COLUMN(K$1),4))&lt;&gt;"")*(ROW(INDIRECT(ADDRESS(1,COLUMN(K$1),2) &amp;":"&amp; ADDRESS(ROW(),COLUMN(K$1),4)))))),239)</f>
        <v>3</v>
      </c>
      <c r="Q5" s="41" t="str">
        <f t="shared" ca="1" si="1"/>
        <v/>
      </c>
      <c r="R5" s="41" t="str">
        <f t="shared" ca="1" si="2"/>
        <v/>
      </c>
      <c r="S5" s="41" t="str">
        <f t="shared" ca="1" si="3"/>
        <v/>
      </c>
      <c r="T5" s="42" t="str">
        <f t="shared" ca="1" si="4"/>
        <v/>
      </c>
      <c r="U5" s="42" t="str">
        <f t="shared" ca="1" si="5"/>
        <v/>
      </c>
      <c r="V5" s="41">
        <f t="shared" ca="1" si="6"/>
        <v>2</v>
      </c>
      <c r="W5" s="45" t="str">
        <f t="shared" ca="1" si="7"/>
        <v>Appoggio!$A$11:$A$13</v>
      </c>
      <c r="X5" s="46" t="s">
        <v>182</v>
      </c>
      <c r="Y5" s="116"/>
      <c r="Z5" s="109"/>
    </row>
    <row r="6" spans="1:26" ht="14.25" customHeight="1">
      <c r="A6" s="179"/>
      <c r="B6" s="180"/>
      <c r="C6" s="181"/>
      <c r="D6" s="37" t="s">
        <v>18</v>
      </c>
      <c r="E6" s="37" t="s">
        <v>18</v>
      </c>
      <c r="F6" s="106" t="s">
        <v>18</v>
      </c>
      <c r="G6" s="190"/>
      <c r="H6" s="182"/>
      <c r="I6" s="151"/>
      <c r="J6" s="151"/>
      <c r="K6" s="183"/>
      <c r="L6" s="183"/>
      <c r="M6" s="39">
        <v>1</v>
      </c>
      <c r="N6" s="39">
        <f t="shared" si="0"/>
        <v>1</v>
      </c>
      <c r="O6" s="40" t="s">
        <v>23</v>
      </c>
      <c r="P6" s="41" cm="1">
        <f t="array" aca="1" ref="P6" ca="1">IF(F6&lt;&gt;"",SUMPRODUCT(MAX((INDIRECT(ADDRESS(1,COLUMN(K$1),2) &amp;":"&amp; ADDRESS(ROW(),COLUMN(K$1),4))&lt;&gt;"")*(ROW(INDIRECT(ADDRESS(1,COLUMN(K$1),2) &amp;":"&amp; ADDRESS(ROW(),COLUMN(K$1),4)))))),239)</f>
        <v>3</v>
      </c>
      <c r="Q6" s="41" t="str">
        <f t="shared" ca="1" si="1"/>
        <v/>
      </c>
      <c r="R6" s="41" t="str">
        <f t="shared" ca="1" si="2"/>
        <v/>
      </c>
      <c r="S6" s="41" t="str">
        <f t="shared" ca="1" si="3"/>
        <v/>
      </c>
      <c r="T6" s="42" t="str">
        <f t="shared" ca="1" si="4"/>
        <v/>
      </c>
      <c r="U6" s="42" t="str">
        <f t="shared" ca="1" si="5"/>
        <v/>
      </c>
      <c r="V6" s="41">
        <f t="shared" ca="1" si="6"/>
        <v>2</v>
      </c>
      <c r="W6" s="45" t="str">
        <f t="shared" ca="1" si="7"/>
        <v>Appoggio!$A$17:$A$18</v>
      </c>
      <c r="X6" s="46" t="s">
        <v>183</v>
      </c>
      <c r="Y6" s="116"/>
      <c r="Z6" s="109"/>
    </row>
    <row r="7" spans="1:26" ht="14.25" customHeight="1">
      <c r="A7" s="179"/>
      <c r="B7" s="180"/>
      <c r="C7" s="181"/>
      <c r="D7" s="37" t="s">
        <v>18</v>
      </c>
      <c r="E7" s="37" t="s">
        <v>18</v>
      </c>
      <c r="F7" s="106" t="s">
        <v>18</v>
      </c>
      <c r="G7" s="190"/>
      <c r="H7" s="182"/>
      <c r="I7" s="151"/>
      <c r="J7" s="151"/>
      <c r="K7" s="183"/>
      <c r="L7" s="183"/>
      <c r="M7" s="47">
        <v>3</v>
      </c>
      <c r="N7" s="47">
        <f t="shared" si="0"/>
        <v>3</v>
      </c>
      <c r="O7" s="48" t="s">
        <v>23</v>
      </c>
      <c r="P7" s="49" cm="1">
        <f t="array" aca="1" ref="P7" ca="1">IF(F7&lt;&gt;"",SUMPRODUCT(MAX((INDIRECT(ADDRESS(1,COLUMN(K$1),2) &amp;":"&amp; ADDRESS(ROW(),COLUMN(K$1),4))&lt;&gt;"")*(ROW(INDIRECT(ADDRESS(1,COLUMN(K$1),2) &amp;":"&amp; ADDRESS(ROW(),COLUMN(K$1),4)))))),239)</f>
        <v>3</v>
      </c>
      <c r="Q7" s="50" t="str">
        <f t="shared" ca="1" si="1"/>
        <v/>
      </c>
      <c r="R7" s="50" t="str">
        <f t="shared" ca="1" si="2"/>
        <v/>
      </c>
      <c r="S7" s="50" t="str">
        <f t="shared" ca="1" si="3"/>
        <v/>
      </c>
      <c r="T7" s="51" t="str">
        <f t="shared" ca="1" si="4"/>
        <v/>
      </c>
      <c r="U7" s="51" t="str">
        <f t="shared" ca="1" si="5"/>
        <v/>
      </c>
      <c r="V7" s="50">
        <f t="shared" ca="1" si="6"/>
        <v>2</v>
      </c>
      <c r="W7" s="45" t="str">
        <f t="shared" ca="1" si="7"/>
        <v>Appoggio!$A$17:$A$18</v>
      </c>
      <c r="X7" s="52" t="s">
        <v>184</v>
      </c>
      <c r="Y7" s="117"/>
      <c r="Z7" s="110"/>
    </row>
    <row r="8" spans="1:26" ht="14.25" customHeight="1">
      <c r="A8" s="179"/>
      <c r="B8" s="162" t="s">
        <v>26</v>
      </c>
      <c r="C8" s="163" t="s">
        <v>186</v>
      </c>
      <c r="D8" s="55" t="s">
        <v>18</v>
      </c>
      <c r="E8" s="56" t="s">
        <v>18</v>
      </c>
      <c r="F8" s="106" t="s">
        <v>18</v>
      </c>
      <c r="G8" s="165" t="str">
        <f>IF(L8&gt;0,"✔","")</f>
        <v>✔</v>
      </c>
      <c r="H8" s="164" t="s">
        <v>27</v>
      </c>
      <c r="I8" s="58"/>
      <c r="J8" s="58"/>
      <c r="K8" s="184">
        <v>2</v>
      </c>
      <c r="L8" s="184">
        <f>IF(COUNTA(F8:F20)&lt;&gt;0,K8,0)</f>
        <v>2</v>
      </c>
      <c r="M8" s="60">
        <v>3</v>
      </c>
      <c r="N8" s="60">
        <f t="shared" si="0"/>
        <v>3</v>
      </c>
      <c r="O8" s="61" t="s">
        <v>21</v>
      </c>
      <c r="P8" s="41" cm="1">
        <f t="array" aca="1" ref="P8" ca="1">IF(F8&lt;&gt;"",SUMPRODUCT(MAX((INDIRECT(ADDRESS(1,COLUMN(K$1),2) &amp;":"&amp; ADDRESS(ROW(),COLUMN(K$1),4))&lt;&gt;"")*(ROW(INDIRECT(ADDRESS(1,COLUMN(K$1),2) &amp;":"&amp; ADDRESS(ROW(),COLUMN(K$1),4)))))),239)</f>
        <v>8</v>
      </c>
      <c r="Q8" s="41" t="str">
        <f t="shared" ca="1" si="1"/>
        <v/>
      </c>
      <c r="R8" s="41" t="str">
        <f t="shared" ca="1" si="2"/>
        <v/>
      </c>
      <c r="S8" s="41" t="str">
        <f t="shared" ca="1" si="3"/>
        <v/>
      </c>
      <c r="T8" s="62" t="str">
        <f t="shared" ca="1" si="4"/>
        <v/>
      </c>
      <c r="U8" s="63" t="str">
        <f t="shared" ca="1" si="5"/>
        <v/>
      </c>
      <c r="V8" s="64">
        <f t="shared" ca="1" si="6"/>
        <v>2</v>
      </c>
      <c r="W8" s="43" t="str">
        <f t="shared" ca="1" si="7"/>
        <v>Appoggio!$A$11:$A$13</v>
      </c>
      <c r="X8" s="65" t="s">
        <v>187</v>
      </c>
      <c r="Y8" s="118"/>
      <c r="Z8" s="111"/>
    </row>
    <row r="9" spans="1:26" ht="14.25" customHeight="1">
      <c r="A9" s="179"/>
      <c r="B9" s="162"/>
      <c r="C9" s="163"/>
      <c r="D9" s="55" t="s">
        <v>18</v>
      </c>
      <c r="E9" s="56" t="s">
        <v>18</v>
      </c>
      <c r="F9" s="106" t="s">
        <v>18</v>
      </c>
      <c r="G9" s="165"/>
      <c r="H9" s="164"/>
      <c r="I9" s="66" t="s">
        <v>28</v>
      </c>
      <c r="J9" s="66" t="s">
        <v>480</v>
      </c>
      <c r="K9" s="184"/>
      <c r="L9" s="184"/>
      <c r="M9" s="39">
        <v>3</v>
      </c>
      <c r="N9" s="39">
        <f t="shared" si="0"/>
        <v>3</v>
      </c>
      <c r="O9" s="40" t="s">
        <v>21</v>
      </c>
      <c r="P9" s="41" cm="1">
        <f t="array" aca="1" ref="P9" ca="1">IF(F9&lt;&gt;"",SUMPRODUCT(MAX((INDIRECT(ADDRESS(1,COLUMN(K$1),2) &amp;":"&amp; ADDRESS(ROW(),COLUMN(K$1),4))&lt;&gt;"")*(ROW(INDIRECT(ADDRESS(1,COLUMN(K$1),2) &amp;":"&amp; ADDRESS(ROW(),COLUMN(K$1),4)))))),239)</f>
        <v>8</v>
      </c>
      <c r="Q9" s="41" t="str">
        <f t="shared" ca="1" si="1"/>
        <v/>
      </c>
      <c r="R9" s="41" t="str">
        <f t="shared" ca="1" si="2"/>
        <v/>
      </c>
      <c r="S9" s="41" t="str">
        <f t="shared" ca="1" si="3"/>
        <v/>
      </c>
      <c r="T9" s="42" t="str">
        <f t="shared" ca="1" si="4"/>
        <v/>
      </c>
      <c r="U9" s="42" t="str">
        <f t="shared" ca="1" si="5"/>
        <v/>
      </c>
      <c r="V9" s="41">
        <f t="shared" ca="1" si="6"/>
        <v>2</v>
      </c>
      <c r="W9" s="45" t="str">
        <f t="shared" ca="1" si="7"/>
        <v>Appoggio!$A$11:$A$13</v>
      </c>
      <c r="X9" s="46" t="s">
        <v>188</v>
      </c>
      <c r="Y9" s="116"/>
      <c r="Z9" s="109"/>
    </row>
    <row r="10" spans="1:26" ht="28">
      <c r="A10" s="179"/>
      <c r="B10" s="162"/>
      <c r="C10" s="163"/>
      <c r="D10" s="55" t="s">
        <v>18</v>
      </c>
      <c r="E10" s="56" t="s">
        <v>18</v>
      </c>
      <c r="F10" s="106" t="s">
        <v>18</v>
      </c>
      <c r="G10" s="165"/>
      <c r="H10" s="164"/>
      <c r="I10" s="66" t="s">
        <v>29</v>
      </c>
      <c r="J10" s="75" t="s">
        <v>504</v>
      </c>
      <c r="K10" s="184"/>
      <c r="L10" s="184"/>
      <c r="M10" s="39">
        <v>3</v>
      </c>
      <c r="N10" s="39">
        <f t="shared" si="0"/>
        <v>3</v>
      </c>
      <c r="O10" s="40" t="s">
        <v>21</v>
      </c>
      <c r="P10" s="41" cm="1">
        <f t="array" aca="1" ref="P10" ca="1">IF(F10&lt;&gt;"",SUMPRODUCT(MAX((INDIRECT(ADDRESS(1,COLUMN(K$1),2) &amp;":"&amp; ADDRESS(ROW(),COLUMN(K$1),4))&lt;&gt;"")*(ROW(INDIRECT(ADDRESS(1,COLUMN(K$1),2) &amp;":"&amp; ADDRESS(ROW(),COLUMN(K$1),4)))))),239)</f>
        <v>8</v>
      </c>
      <c r="Q10" s="41" t="str">
        <f t="shared" ca="1" si="1"/>
        <v/>
      </c>
      <c r="R10" s="41" t="str">
        <f t="shared" ca="1" si="2"/>
        <v/>
      </c>
      <c r="S10" s="41" t="str">
        <f t="shared" ca="1" si="3"/>
        <v/>
      </c>
      <c r="T10" s="42" t="str">
        <f t="shared" ca="1" si="4"/>
        <v/>
      </c>
      <c r="U10" s="42" t="str">
        <f t="shared" ca="1" si="5"/>
        <v/>
      </c>
      <c r="V10" s="41">
        <f t="shared" ca="1" si="6"/>
        <v>2</v>
      </c>
      <c r="W10" s="45" t="str">
        <f t="shared" ca="1" si="7"/>
        <v>Appoggio!$A$11:$A$13</v>
      </c>
      <c r="X10" s="46" t="s">
        <v>189</v>
      </c>
      <c r="Y10" s="116"/>
      <c r="Z10" s="109"/>
    </row>
    <row r="11" spans="1:26" ht="14.25" customHeight="1">
      <c r="A11" s="179"/>
      <c r="B11" s="162"/>
      <c r="C11" s="163"/>
      <c r="D11" s="55" t="s">
        <v>18</v>
      </c>
      <c r="E11" s="56" t="s">
        <v>18</v>
      </c>
      <c r="F11" s="106" t="s">
        <v>18</v>
      </c>
      <c r="G11" s="165"/>
      <c r="H11" s="164"/>
      <c r="I11" s="66"/>
      <c r="J11" s="66"/>
      <c r="K11" s="184"/>
      <c r="L11" s="184"/>
      <c r="M11" s="39">
        <v>2</v>
      </c>
      <c r="N11" s="39">
        <f t="shared" si="0"/>
        <v>2</v>
      </c>
      <c r="O11" s="40" t="s">
        <v>21</v>
      </c>
      <c r="P11" s="41" cm="1">
        <f t="array" aca="1" ref="P11" ca="1">IF(F11&lt;&gt;"",SUMPRODUCT(MAX((INDIRECT(ADDRESS(1,COLUMN(K$1),2) &amp;":"&amp; ADDRESS(ROW(),COLUMN(K$1),4))&lt;&gt;"")*(ROW(INDIRECT(ADDRESS(1,COLUMN(K$1),2) &amp;":"&amp; ADDRESS(ROW(),COLUMN(K$1),4)))))),239)</f>
        <v>8</v>
      </c>
      <c r="Q11" s="41" t="str">
        <f t="shared" ca="1" si="1"/>
        <v/>
      </c>
      <c r="R11" s="41" t="str">
        <f t="shared" ca="1" si="2"/>
        <v/>
      </c>
      <c r="S11" s="41" t="str">
        <f t="shared" ca="1" si="3"/>
        <v/>
      </c>
      <c r="T11" s="42" t="str">
        <f t="shared" ca="1" si="4"/>
        <v/>
      </c>
      <c r="U11" s="42" t="str">
        <f t="shared" ca="1" si="5"/>
        <v/>
      </c>
      <c r="V11" s="41">
        <f t="shared" ca="1" si="6"/>
        <v>2</v>
      </c>
      <c r="W11" s="45" t="str">
        <f t="shared" ca="1" si="7"/>
        <v>Appoggio!$A$11:$A$13</v>
      </c>
      <c r="X11" s="46" t="s">
        <v>190</v>
      </c>
      <c r="Y11" s="116"/>
      <c r="Z11" s="109"/>
    </row>
    <row r="12" spans="1:26" ht="14.25" customHeight="1">
      <c r="A12" s="179"/>
      <c r="B12" s="162"/>
      <c r="C12" s="163"/>
      <c r="D12" s="55" t="s">
        <v>18</v>
      </c>
      <c r="E12" s="56" t="s">
        <v>18</v>
      </c>
      <c r="F12" s="106" t="s">
        <v>18</v>
      </c>
      <c r="G12" s="165"/>
      <c r="H12" s="164"/>
      <c r="I12" s="66"/>
      <c r="J12" s="66"/>
      <c r="K12" s="184"/>
      <c r="L12" s="184"/>
      <c r="M12" s="39">
        <v>3</v>
      </c>
      <c r="N12" s="39">
        <f t="shared" si="0"/>
        <v>3</v>
      </c>
      <c r="O12" s="40" t="s">
        <v>21</v>
      </c>
      <c r="P12" s="41" cm="1">
        <f t="array" aca="1" ref="P12" ca="1">IF(F12&lt;&gt;"",SUMPRODUCT(MAX((INDIRECT(ADDRESS(1,COLUMN(K$1),2) &amp;":"&amp; ADDRESS(ROW(),COLUMN(K$1),4))&lt;&gt;"")*(ROW(INDIRECT(ADDRESS(1,COLUMN(K$1),2) &amp;":"&amp; ADDRESS(ROW(),COLUMN(K$1),4)))))),239)</f>
        <v>8</v>
      </c>
      <c r="Q12" s="41" t="str">
        <f t="shared" ca="1" si="1"/>
        <v/>
      </c>
      <c r="R12" s="41" t="str">
        <f t="shared" ca="1" si="2"/>
        <v/>
      </c>
      <c r="S12" s="41" t="str">
        <f t="shared" ca="1" si="3"/>
        <v/>
      </c>
      <c r="T12" s="42" t="str">
        <f t="shared" ca="1" si="4"/>
        <v/>
      </c>
      <c r="U12" s="42" t="str">
        <f t="shared" ca="1" si="5"/>
        <v/>
      </c>
      <c r="V12" s="41">
        <f t="shared" ca="1" si="6"/>
        <v>2</v>
      </c>
      <c r="W12" s="45" t="str">
        <f t="shared" ca="1" si="7"/>
        <v>Appoggio!$A$11:$A$13</v>
      </c>
      <c r="X12" s="46" t="s">
        <v>191</v>
      </c>
      <c r="Y12" s="116"/>
      <c r="Z12" s="109"/>
    </row>
    <row r="13" spans="1:26" ht="14.25" customHeight="1">
      <c r="A13" s="179"/>
      <c r="B13" s="162"/>
      <c r="C13" s="163"/>
      <c r="D13" s="55" t="s">
        <v>18</v>
      </c>
      <c r="E13" s="56" t="s">
        <v>18</v>
      </c>
      <c r="F13" s="106" t="s">
        <v>18</v>
      </c>
      <c r="G13" s="165"/>
      <c r="H13" s="164"/>
      <c r="I13" s="66" t="s">
        <v>30</v>
      </c>
      <c r="J13" s="66" t="s">
        <v>482</v>
      </c>
      <c r="K13" s="184"/>
      <c r="L13" s="184"/>
      <c r="M13" s="39">
        <v>2</v>
      </c>
      <c r="N13" s="39">
        <f t="shared" si="0"/>
        <v>2</v>
      </c>
      <c r="O13" s="40" t="s">
        <v>21</v>
      </c>
      <c r="P13" s="41" cm="1">
        <f t="array" aca="1" ref="P13" ca="1">IF(F13&lt;&gt;"",SUMPRODUCT(MAX((INDIRECT(ADDRESS(1,COLUMN(K$1),2) &amp;":"&amp; ADDRESS(ROW(),COLUMN(K$1),4))&lt;&gt;"")*(ROW(INDIRECT(ADDRESS(1,COLUMN(K$1),2) &amp;":"&amp; ADDRESS(ROW(),COLUMN(K$1),4)))))),239)</f>
        <v>8</v>
      </c>
      <c r="Q13" s="41" t="str">
        <f t="shared" ca="1" si="1"/>
        <v/>
      </c>
      <c r="R13" s="41" t="str">
        <f t="shared" ca="1" si="2"/>
        <v/>
      </c>
      <c r="S13" s="41" t="str">
        <f t="shared" ca="1" si="3"/>
        <v/>
      </c>
      <c r="T13" s="42" t="str">
        <f t="shared" ca="1" si="4"/>
        <v/>
      </c>
      <c r="U13" s="42" t="str">
        <f t="shared" ca="1" si="5"/>
        <v/>
      </c>
      <c r="V13" s="41">
        <f t="shared" ca="1" si="6"/>
        <v>2</v>
      </c>
      <c r="W13" s="45" t="str">
        <f t="shared" ca="1" si="7"/>
        <v>Appoggio!$A$11:$A$13</v>
      </c>
      <c r="X13" s="46" t="s">
        <v>192</v>
      </c>
      <c r="Y13" s="116"/>
      <c r="Z13" s="109"/>
    </row>
    <row r="14" spans="1:26" ht="14.25" customHeight="1">
      <c r="A14" s="179"/>
      <c r="B14" s="162"/>
      <c r="C14" s="163"/>
      <c r="D14" s="55" t="s">
        <v>18</v>
      </c>
      <c r="E14" s="56" t="s">
        <v>18</v>
      </c>
      <c r="F14" s="106" t="s">
        <v>18</v>
      </c>
      <c r="G14" s="165"/>
      <c r="H14" s="164"/>
      <c r="I14" s="66"/>
      <c r="J14" s="66"/>
      <c r="K14" s="184"/>
      <c r="L14" s="184"/>
      <c r="M14" s="39">
        <v>2</v>
      </c>
      <c r="N14" s="39">
        <f t="shared" si="0"/>
        <v>2</v>
      </c>
      <c r="O14" s="40" t="s">
        <v>23</v>
      </c>
      <c r="P14" s="41" cm="1">
        <f t="array" aca="1" ref="P14" ca="1">IF(F14&lt;&gt;"",SUMPRODUCT(MAX((INDIRECT(ADDRESS(1,COLUMN(K$1),2) &amp;":"&amp; ADDRESS(ROW(),COLUMN(K$1),4))&lt;&gt;"")*(ROW(INDIRECT(ADDRESS(1,COLUMN(K$1),2) &amp;":"&amp; ADDRESS(ROW(),COLUMN(K$1),4)))))),239)</f>
        <v>8</v>
      </c>
      <c r="Q14" s="41" t="str">
        <f t="shared" ca="1" si="1"/>
        <v/>
      </c>
      <c r="R14" s="41" t="str">
        <f t="shared" ca="1" si="2"/>
        <v/>
      </c>
      <c r="S14" s="41" t="str">
        <f t="shared" ca="1" si="3"/>
        <v/>
      </c>
      <c r="T14" s="42" t="str">
        <f t="shared" ca="1" si="4"/>
        <v/>
      </c>
      <c r="U14" s="42" t="str">
        <f t="shared" ca="1" si="5"/>
        <v/>
      </c>
      <c r="V14" s="41">
        <f t="shared" ca="1" si="6"/>
        <v>2</v>
      </c>
      <c r="W14" s="45" t="str">
        <f t="shared" ca="1" si="7"/>
        <v>Appoggio!$A$17:$A$18</v>
      </c>
      <c r="X14" s="46" t="s">
        <v>193</v>
      </c>
      <c r="Y14" s="116"/>
      <c r="Z14" s="109"/>
    </row>
    <row r="15" spans="1:26" ht="28">
      <c r="A15" s="179"/>
      <c r="B15" s="162"/>
      <c r="C15" s="163"/>
      <c r="D15" s="55" t="s">
        <v>18</v>
      </c>
      <c r="E15" s="56" t="s">
        <v>18</v>
      </c>
      <c r="F15" s="106" t="s">
        <v>18</v>
      </c>
      <c r="G15" s="165"/>
      <c r="H15" s="164"/>
      <c r="I15" s="66" t="s">
        <v>31</v>
      </c>
      <c r="J15" s="75" t="s">
        <v>505</v>
      </c>
      <c r="K15" s="184"/>
      <c r="L15" s="184"/>
      <c r="M15" s="39">
        <v>1</v>
      </c>
      <c r="N15" s="39">
        <f t="shared" si="0"/>
        <v>1</v>
      </c>
      <c r="O15" s="40" t="s">
        <v>21</v>
      </c>
      <c r="P15" s="41" cm="1">
        <f t="array" aca="1" ref="P15" ca="1">IF(F15&lt;&gt;"",SUMPRODUCT(MAX((INDIRECT(ADDRESS(1,COLUMN(K$1),2) &amp;":"&amp; ADDRESS(ROW(),COLUMN(K$1),4))&lt;&gt;"")*(ROW(INDIRECT(ADDRESS(1,COLUMN(K$1),2) &amp;":"&amp; ADDRESS(ROW(),COLUMN(K$1),4)))))),239)</f>
        <v>8</v>
      </c>
      <c r="Q15" s="41" t="str">
        <f t="shared" ca="1" si="1"/>
        <v/>
      </c>
      <c r="R15" s="41" t="str">
        <f t="shared" ca="1" si="2"/>
        <v/>
      </c>
      <c r="S15" s="41" t="str">
        <f t="shared" ca="1" si="3"/>
        <v/>
      </c>
      <c r="T15" s="42" t="str">
        <f t="shared" ca="1" si="4"/>
        <v/>
      </c>
      <c r="U15" s="42" t="str">
        <f t="shared" ca="1" si="5"/>
        <v/>
      </c>
      <c r="V15" s="41">
        <f t="shared" ca="1" si="6"/>
        <v>2</v>
      </c>
      <c r="W15" s="45" t="str">
        <f t="shared" ca="1" si="7"/>
        <v>Appoggio!$A$11:$A$13</v>
      </c>
      <c r="X15" s="46" t="s">
        <v>197</v>
      </c>
      <c r="Y15" s="116"/>
      <c r="Z15" s="109"/>
    </row>
    <row r="16" spans="1:26" ht="14.25" customHeight="1">
      <c r="A16" s="179"/>
      <c r="B16" s="162"/>
      <c r="C16" s="163"/>
      <c r="D16" s="55" t="s">
        <v>18</v>
      </c>
      <c r="E16" s="56" t="s">
        <v>18</v>
      </c>
      <c r="F16" s="106" t="s">
        <v>18</v>
      </c>
      <c r="G16" s="165"/>
      <c r="H16" s="164"/>
      <c r="I16" s="66" t="s">
        <v>32</v>
      </c>
      <c r="J16" s="66" t="s">
        <v>484</v>
      </c>
      <c r="K16" s="184"/>
      <c r="L16" s="184"/>
      <c r="M16" s="39">
        <v>2</v>
      </c>
      <c r="N16" s="39">
        <f t="shared" si="0"/>
        <v>2</v>
      </c>
      <c r="O16" s="40" t="s">
        <v>21</v>
      </c>
      <c r="P16" s="41" cm="1">
        <f t="array" aca="1" ref="P16" ca="1">IF(F16&lt;&gt;"",SUMPRODUCT(MAX((INDIRECT(ADDRESS(1,COLUMN(K$1),2) &amp;":"&amp; ADDRESS(ROW(),COLUMN(K$1),4))&lt;&gt;"")*(ROW(INDIRECT(ADDRESS(1,COLUMN(K$1),2) &amp;":"&amp; ADDRESS(ROW(),COLUMN(K$1),4)))))),239)</f>
        <v>8</v>
      </c>
      <c r="Q16" s="41" t="str">
        <f t="shared" ca="1" si="1"/>
        <v/>
      </c>
      <c r="R16" s="41" t="str">
        <f t="shared" ca="1" si="2"/>
        <v/>
      </c>
      <c r="S16" s="41" t="str">
        <f t="shared" ca="1" si="3"/>
        <v/>
      </c>
      <c r="T16" s="42" t="str">
        <f t="shared" ca="1" si="4"/>
        <v/>
      </c>
      <c r="U16" s="42" t="str">
        <f t="shared" ca="1" si="5"/>
        <v/>
      </c>
      <c r="V16" s="41">
        <f t="shared" ca="1" si="6"/>
        <v>2</v>
      </c>
      <c r="W16" s="45" t="str">
        <f t="shared" ca="1" si="7"/>
        <v>Appoggio!$A$11:$A$13</v>
      </c>
      <c r="X16" s="46" t="s">
        <v>194</v>
      </c>
      <c r="Y16" s="116"/>
      <c r="Z16" s="109"/>
    </row>
    <row r="17" spans="1:26" ht="14.25" customHeight="1">
      <c r="A17" s="179"/>
      <c r="B17" s="162"/>
      <c r="C17" s="163"/>
      <c r="D17" s="55" t="s">
        <v>18</v>
      </c>
      <c r="E17" s="56" t="s">
        <v>18</v>
      </c>
      <c r="F17" s="106" t="s">
        <v>18</v>
      </c>
      <c r="G17" s="165"/>
      <c r="H17" s="164"/>
      <c r="I17" s="66" t="s">
        <v>33</v>
      </c>
      <c r="J17" s="66" t="s">
        <v>485</v>
      </c>
      <c r="K17" s="184"/>
      <c r="L17" s="184"/>
      <c r="M17" s="39">
        <v>2</v>
      </c>
      <c r="N17" s="39">
        <f t="shared" si="0"/>
        <v>2</v>
      </c>
      <c r="O17" s="40" t="s">
        <v>21</v>
      </c>
      <c r="P17" s="41" cm="1">
        <f t="array" aca="1" ref="P17" ca="1">IF(F17&lt;&gt;"",SUMPRODUCT(MAX((INDIRECT(ADDRESS(1,COLUMN(K$1),2) &amp;":"&amp; ADDRESS(ROW(),COLUMN(K$1),4))&lt;&gt;"")*(ROW(INDIRECT(ADDRESS(1,COLUMN(K$1),2) &amp;":"&amp; ADDRESS(ROW(),COLUMN(K$1),4)))))),239)</f>
        <v>8</v>
      </c>
      <c r="Q17" s="41" t="str">
        <f t="shared" ca="1" si="1"/>
        <v/>
      </c>
      <c r="R17" s="41" t="str">
        <f t="shared" ca="1" si="2"/>
        <v/>
      </c>
      <c r="S17" s="41" t="str">
        <f t="shared" ca="1" si="3"/>
        <v/>
      </c>
      <c r="T17" s="42" t="str">
        <f t="shared" ca="1" si="4"/>
        <v/>
      </c>
      <c r="U17" s="42" t="str">
        <f t="shared" ca="1" si="5"/>
        <v/>
      </c>
      <c r="V17" s="41">
        <f t="shared" ca="1" si="6"/>
        <v>2</v>
      </c>
      <c r="W17" s="45" t="str">
        <f t="shared" ca="1" si="7"/>
        <v>Appoggio!$A$11:$A$13</v>
      </c>
      <c r="X17" s="46" t="s">
        <v>195</v>
      </c>
      <c r="Y17" s="116"/>
      <c r="Z17" s="109"/>
    </row>
    <row r="18" spans="1:26" ht="14.25" customHeight="1">
      <c r="A18" s="179"/>
      <c r="B18" s="162"/>
      <c r="C18" s="163"/>
      <c r="D18" s="55" t="s">
        <v>18</v>
      </c>
      <c r="E18" s="56" t="s">
        <v>18</v>
      </c>
      <c r="F18" s="106" t="s">
        <v>18</v>
      </c>
      <c r="G18" s="165"/>
      <c r="H18" s="164"/>
      <c r="I18" s="66" t="s">
        <v>34</v>
      </c>
      <c r="J18" s="66" t="s">
        <v>524</v>
      </c>
      <c r="K18" s="184"/>
      <c r="L18" s="184"/>
      <c r="M18" s="39">
        <v>1</v>
      </c>
      <c r="N18" s="39">
        <f t="shared" si="0"/>
        <v>1</v>
      </c>
      <c r="O18" s="40" t="s">
        <v>21</v>
      </c>
      <c r="P18" s="41" cm="1">
        <f t="array" aca="1" ref="P18" ca="1">IF(F18&lt;&gt;"",SUMPRODUCT(MAX((INDIRECT(ADDRESS(1,COLUMN(K$1),2) &amp;":"&amp; ADDRESS(ROW(),COLUMN(K$1),4))&lt;&gt;"")*(ROW(INDIRECT(ADDRESS(1,COLUMN(K$1),2) &amp;":"&amp; ADDRESS(ROW(),COLUMN(K$1),4)))))),239)</f>
        <v>8</v>
      </c>
      <c r="Q18" s="41" t="str">
        <f t="shared" ca="1" si="1"/>
        <v/>
      </c>
      <c r="R18" s="41" t="str">
        <f t="shared" ca="1" si="2"/>
        <v/>
      </c>
      <c r="S18" s="41" t="str">
        <f t="shared" ca="1" si="3"/>
        <v/>
      </c>
      <c r="T18" s="42" t="str">
        <f t="shared" ca="1" si="4"/>
        <v/>
      </c>
      <c r="U18" s="42" t="str">
        <f t="shared" ca="1" si="5"/>
        <v/>
      </c>
      <c r="V18" s="41">
        <f t="shared" ca="1" si="6"/>
        <v>2</v>
      </c>
      <c r="W18" s="45" t="str">
        <f t="shared" ca="1" si="7"/>
        <v>Appoggio!$A$11:$A$13</v>
      </c>
      <c r="X18" s="46" t="s">
        <v>198</v>
      </c>
      <c r="Y18" s="116"/>
      <c r="Z18" s="109"/>
    </row>
    <row r="19" spans="1:26" ht="21">
      <c r="A19" s="179"/>
      <c r="B19" s="162"/>
      <c r="C19" s="163"/>
      <c r="D19" s="55" t="s">
        <v>18</v>
      </c>
      <c r="E19" s="56" t="s">
        <v>18</v>
      </c>
      <c r="F19" s="106" t="s">
        <v>18</v>
      </c>
      <c r="G19" s="165"/>
      <c r="H19" s="164"/>
      <c r="I19" s="66" t="s">
        <v>35</v>
      </c>
      <c r="J19" s="66" t="s">
        <v>506</v>
      </c>
      <c r="K19" s="184"/>
      <c r="L19" s="184"/>
      <c r="M19" s="39">
        <v>2</v>
      </c>
      <c r="N19" s="39">
        <f t="shared" ref="N19" si="8">IF(F19&lt;&gt;"",M19,0)</f>
        <v>2</v>
      </c>
      <c r="O19" s="39" t="s">
        <v>21</v>
      </c>
      <c r="P19" s="41" cm="1">
        <f t="array" aca="1" ref="P19" ca="1">IF(F19&lt;&gt;"",SUMPRODUCT(MAX((INDIRECT(ADDRESS(1,COLUMN(K$1),2) &amp;":"&amp; ADDRESS(ROW(),COLUMN(K$1),4))&lt;&gt;"")*(ROW(INDIRECT(ADDRESS(1,COLUMN(K$1),2) &amp;":"&amp; ADDRESS(ROW(),COLUMN(K$1),4)))))),239)</f>
        <v>8</v>
      </c>
      <c r="Q19" s="41" t="str">
        <f t="shared" ref="Q19" ca="1" si="9">IF(Y19&lt;&gt;"",VLOOKUP(Y19,INDIRECT(O19),2,0),"")</f>
        <v/>
      </c>
      <c r="R19" s="41" t="str">
        <f t="shared" ref="R19" ca="1" si="10">IF(Q19&lt;&gt;"",IF(F19&lt;&gt;"",Q19*M19,0),"")</f>
        <v/>
      </c>
      <c r="S19" s="41" t="str">
        <f t="shared" ref="S19" ca="1" si="11">IF(R19&lt;&gt;"",IF(R19&lt;&gt;0,R19*INDIRECT(ADDRESS(P19,COLUMN(K$1),4,)),0),"")</f>
        <v/>
      </c>
      <c r="T19" s="62" t="str">
        <f t="shared" ca="1" si="4"/>
        <v/>
      </c>
      <c r="U19" s="62" t="str">
        <f t="shared" ca="1" si="5"/>
        <v/>
      </c>
      <c r="V19" s="41">
        <f t="shared" ca="1" si="6"/>
        <v>2</v>
      </c>
      <c r="W19" s="45" t="str">
        <f t="shared" ref="W19" ca="1" si="12">ADDRESS(ROW(INDIRECT(O19)),COLUMN(INDIRECT(O19)),1,1,"Appoggio")&amp;":"&amp;ADDRESS(ROW(INDIRECT(O19))+ROWS(INDIRECT(O19))-1,COLUMN(INDIRECT(O19)),1,1)</f>
        <v>Appoggio!$A$11:$A$13</v>
      </c>
      <c r="X19" s="46" t="s">
        <v>196</v>
      </c>
      <c r="Y19" s="117"/>
      <c r="Z19" s="110"/>
    </row>
    <row r="20" spans="1:26" ht="21">
      <c r="A20" s="179"/>
      <c r="B20" s="162"/>
      <c r="C20" s="163"/>
      <c r="D20" s="55" t="s">
        <v>18</v>
      </c>
      <c r="E20" s="56" t="s">
        <v>18</v>
      </c>
      <c r="F20" s="106" t="s">
        <v>18</v>
      </c>
      <c r="G20" s="165"/>
      <c r="H20" s="164"/>
      <c r="I20" s="135"/>
      <c r="J20" s="135" t="s">
        <v>564</v>
      </c>
      <c r="K20" s="184"/>
      <c r="L20" s="184"/>
      <c r="M20" s="142">
        <v>1</v>
      </c>
      <c r="N20" s="144">
        <f t="shared" si="0"/>
        <v>1</v>
      </c>
      <c r="O20" s="143" t="s">
        <v>23</v>
      </c>
      <c r="P20" s="49" cm="1">
        <f t="array" aca="1" ref="P20" ca="1">IF(F20&lt;&gt;"",SUMPRODUCT(MAX((INDIRECT(ADDRESS(1,COLUMN(K$1),2) &amp;":"&amp; ADDRESS(ROW(),COLUMN(K$1),4))&lt;&gt;"")*(ROW(INDIRECT(ADDRESS(1,COLUMN(K$1),2) &amp;":"&amp; ADDRESS(ROW(),COLUMN(K$1),4)))))),239)</f>
        <v>8</v>
      </c>
      <c r="Q20" s="50" t="str">
        <f t="shared" ca="1" si="1"/>
        <v/>
      </c>
      <c r="R20" s="50" t="str">
        <f t="shared" ca="1" si="2"/>
        <v/>
      </c>
      <c r="S20" s="50" t="str">
        <f t="shared" ca="1" si="3"/>
        <v/>
      </c>
      <c r="T20" s="51" t="str">
        <f t="shared" ca="1" si="4"/>
        <v/>
      </c>
      <c r="U20" s="51" t="str">
        <f t="shared" ca="1" si="5"/>
        <v/>
      </c>
      <c r="V20" s="50">
        <f t="shared" ca="1" si="6"/>
        <v>2</v>
      </c>
      <c r="W20" s="45" t="str">
        <f t="shared" ca="1" si="7"/>
        <v>Appoggio!$A$17:$A$18</v>
      </c>
      <c r="X20" s="134" t="s">
        <v>563</v>
      </c>
      <c r="Y20" s="117"/>
      <c r="Z20" s="110"/>
    </row>
    <row r="21" spans="1:26" ht="14.25" customHeight="1">
      <c r="A21" s="179"/>
      <c r="B21" s="162" t="s">
        <v>36</v>
      </c>
      <c r="C21" s="163" t="s">
        <v>203</v>
      </c>
      <c r="D21" s="55" t="s">
        <v>18</v>
      </c>
      <c r="E21" s="67"/>
      <c r="F21" s="106" t="s">
        <v>18</v>
      </c>
      <c r="G21" s="202" t="str">
        <f>IF(L21&gt;0,"✔","")</f>
        <v>✔</v>
      </c>
      <c r="H21" s="164" t="s">
        <v>37</v>
      </c>
      <c r="I21" s="152" t="s">
        <v>38</v>
      </c>
      <c r="J21" s="152" t="s">
        <v>507</v>
      </c>
      <c r="K21" s="185">
        <v>1</v>
      </c>
      <c r="L21" s="185">
        <f>IF(COUNTA(F21:F24)&lt;&gt;0,K21,0)</f>
        <v>1</v>
      </c>
      <c r="M21" s="60">
        <v>3</v>
      </c>
      <c r="N21" s="60">
        <f t="shared" si="0"/>
        <v>3</v>
      </c>
      <c r="O21" s="61" t="s">
        <v>21</v>
      </c>
      <c r="P21" s="41" cm="1">
        <f t="array" aca="1" ref="P21" ca="1">IF(F21&lt;&gt;"",SUMPRODUCT(MAX((INDIRECT(ADDRESS(1,COLUMN(K$1),2) &amp;":"&amp; ADDRESS(ROW(),COLUMN(K$1),4))&lt;&gt;"")*(ROW(INDIRECT(ADDRESS(1,COLUMN(K$1),2) &amp;":"&amp; ADDRESS(ROW(),COLUMN(K$1),4)))))),239)</f>
        <v>21</v>
      </c>
      <c r="Q21" s="41" t="str">
        <f t="shared" ca="1" si="1"/>
        <v/>
      </c>
      <c r="R21" s="41" t="str">
        <f t="shared" ca="1" si="2"/>
        <v/>
      </c>
      <c r="S21" s="41" t="str">
        <f t="shared" ca="1" si="3"/>
        <v/>
      </c>
      <c r="T21" s="63" t="str">
        <f t="shared" ca="1" si="4"/>
        <v/>
      </c>
      <c r="U21" s="63" t="str">
        <f t="shared" ca="1" si="5"/>
        <v/>
      </c>
      <c r="V21" s="64">
        <f t="shared" ca="1" si="6"/>
        <v>1</v>
      </c>
      <c r="W21" s="43" t="str">
        <f t="shared" ca="1" si="7"/>
        <v>Appoggio!$A$11:$A$13</v>
      </c>
      <c r="X21" s="65" t="s">
        <v>199</v>
      </c>
      <c r="Y21" s="118"/>
      <c r="Z21" s="111"/>
    </row>
    <row r="22" spans="1:26" ht="14.25" customHeight="1">
      <c r="A22" s="179"/>
      <c r="B22" s="162"/>
      <c r="C22" s="163"/>
      <c r="D22" s="55" t="s">
        <v>18</v>
      </c>
      <c r="E22" s="67"/>
      <c r="F22" s="106" t="s">
        <v>18</v>
      </c>
      <c r="G22" s="202"/>
      <c r="H22" s="164"/>
      <c r="I22" s="152"/>
      <c r="J22" s="152"/>
      <c r="K22" s="185"/>
      <c r="L22" s="185"/>
      <c r="M22" s="39">
        <v>2</v>
      </c>
      <c r="N22" s="39">
        <f t="shared" si="0"/>
        <v>2</v>
      </c>
      <c r="O22" s="40" t="s">
        <v>21</v>
      </c>
      <c r="P22" s="41" cm="1">
        <f t="array" aca="1" ref="P22" ca="1">IF(F22&lt;&gt;"",SUMPRODUCT(MAX((INDIRECT(ADDRESS(1,COLUMN(K$1),2) &amp;":"&amp; ADDRESS(ROW(),COLUMN(K$1),4))&lt;&gt;"")*(ROW(INDIRECT(ADDRESS(1,COLUMN(K$1),2) &amp;":"&amp; ADDRESS(ROW(),COLUMN(K$1),4)))))),239)</f>
        <v>21</v>
      </c>
      <c r="Q22" s="41" t="str">
        <f t="shared" ca="1" si="1"/>
        <v/>
      </c>
      <c r="R22" s="41" t="str">
        <f t="shared" ca="1" si="2"/>
        <v/>
      </c>
      <c r="S22" s="41" t="str">
        <f t="shared" ca="1" si="3"/>
        <v/>
      </c>
      <c r="T22" s="42" t="str">
        <f t="shared" ca="1" si="4"/>
        <v/>
      </c>
      <c r="U22" s="42" t="str">
        <f t="shared" ca="1" si="5"/>
        <v/>
      </c>
      <c r="V22" s="41">
        <f t="shared" ca="1" si="6"/>
        <v>1</v>
      </c>
      <c r="W22" s="45" t="str">
        <f t="shared" ca="1" si="7"/>
        <v>Appoggio!$A$11:$A$13</v>
      </c>
      <c r="X22" s="46" t="s">
        <v>200</v>
      </c>
      <c r="Y22" s="116"/>
      <c r="Z22" s="109"/>
    </row>
    <row r="23" spans="1:26" ht="14.25" customHeight="1">
      <c r="A23" s="179"/>
      <c r="B23" s="162"/>
      <c r="C23" s="163"/>
      <c r="D23" s="55" t="s">
        <v>18</v>
      </c>
      <c r="E23" s="67"/>
      <c r="F23" s="106" t="s">
        <v>18</v>
      </c>
      <c r="G23" s="202"/>
      <c r="H23" s="164"/>
      <c r="I23" s="152"/>
      <c r="J23" s="152"/>
      <c r="K23" s="185"/>
      <c r="L23" s="185"/>
      <c r="M23" s="39">
        <v>2</v>
      </c>
      <c r="N23" s="39">
        <f t="shared" si="0"/>
        <v>2</v>
      </c>
      <c r="O23" s="40" t="s">
        <v>21</v>
      </c>
      <c r="P23" s="41" cm="1">
        <f t="array" aca="1" ref="P23" ca="1">IF(F23&lt;&gt;"",SUMPRODUCT(MAX((INDIRECT(ADDRESS(1,COLUMN(K$1),2) &amp;":"&amp; ADDRESS(ROW(),COLUMN(K$1),4))&lt;&gt;"")*(ROW(INDIRECT(ADDRESS(1,COLUMN(K$1),2) &amp;":"&amp; ADDRESS(ROW(),COLUMN(K$1),4)))))),239)</f>
        <v>21</v>
      </c>
      <c r="Q23" s="41" t="str">
        <f t="shared" ca="1" si="1"/>
        <v/>
      </c>
      <c r="R23" s="41" t="str">
        <f t="shared" ca="1" si="2"/>
        <v/>
      </c>
      <c r="S23" s="41" t="str">
        <f t="shared" ca="1" si="3"/>
        <v/>
      </c>
      <c r="T23" s="42" t="str">
        <f t="shared" ca="1" si="4"/>
        <v/>
      </c>
      <c r="U23" s="42" t="str">
        <f t="shared" ca="1" si="5"/>
        <v/>
      </c>
      <c r="V23" s="41">
        <f t="shared" ca="1" si="6"/>
        <v>1</v>
      </c>
      <c r="W23" s="45" t="str">
        <f t="shared" ca="1" si="7"/>
        <v>Appoggio!$A$11:$A$13</v>
      </c>
      <c r="X23" s="46" t="s">
        <v>201</v>
      </c>
      <c r="Y23" s="116"/>
      <c r="Z23" s="109"/>
    </row>
    <row r="24" spans="1:26" ht="37.25" customHeight="1">
      <c r="A24" s="179"/>
      <c r="B24" s="162"/>
      <c r="C24" s="163"/>
      <c r="D24" s="55" t="s">
        <v>18</v>
      </c>
      <c r="E24" s="67"/>
      <c r="F24" s="106" t="s">
        <v>18</v>
      </c>
      <c r="G24" s="202"/>
      <c r="H24" s="164"/>
      <c r="I24" s="152"/>
      <c r="J24" s="152"/>
      <c r="K24" s="185"/>
      <c r="L24" s="185"/>
      <c r="M24" s="39">
        <v>3</v>
      </c>
      <c r="N24" s="39">
        <f t="shared" si="0"/>
        <v>3</v>
      </c>
      <c r="O24" s="40" t="s">
        <v>21</v>
      </c>
      <c r="P24" s="49" cm="1">
        <f t="array" aca="1" ref="P24" ca="1">IF(F24&lt;&gt;"",SUMPRODUCT(MAX((INDIRECT(ADDRESS(1,COLUMN(K$1),2) &amp;":"&amp; ADDRESS(ROW(),COLUMN(K$1),4))&lt;&gt;"")*(ROW(INDIRECT(ADDRESS(1,COLUMN(K$1),2) &amp;":"&amp; ADDRESS(ROW(),COLUMN(K$1),4)))))),239)</f>
        <v>21</v>
      </c>
      <c r="Q24" s="50" t="str">
        <f t="shared" ca="1" si="1"/>
        <v/>
      </c>
      <c r="R24" s="50" t="str">
        <f t="shared" ca="1" si="2"/>
        <v/>
      </c>
      <c r="S24" s="50" t="str">
        <f t="shared" ca="1" si="3"/>
        <v/>
      </c>
      <c r="T24" s="42" t="str">
        <f t="shared" ca="1" si="4"/>
        <v/>
      </c>
      <c r="U24" s="42" t="str">
        <f t="shared" ca="1" si="5"/>
        <v/>
      </c>
      <c r="V24" s="41">
        <f t="shared" ca="1" si="6"/>
        <v>1</v>
      </c>
      <c r="W24" s="45" t="str">
        <f t="shared" ca="1" si="7"/>
        <v>Appoggio!$A$11:$A$13</v>
      </c>
      <c r="X24" s="46" t="s">
        <v>202</v>
      </c>
      <c r="Y24" s="117"/>
      <c r="Z24" s="109"/>
    </row>
    <row r="25" spans="1:26" ht="14.25" customHeight="1">
      <c r="A25" s="179"/>
      <c r="B25" s="162" t="s">
        <v>39</v>
      </c>
      <c r="C25" s="163" t="s">
        <v>204</v>
      </c>
      <c r="D25" s="55" t="s">
        <v>18</v>
      </c>
      <c r="E25" s="67"/>
      <c r="F25" s="106" t="s">
        <v>18</v>
      </c>
      <c r="G25" s="165" t="str">
        <f>IF(L25&gt;0,"✔","")</f>
        <v>✔</v>
      </c>
      <c r="H25" s="164" t="s">
        <v>37</v>
      </c>
      <c r="I25" s="58" t="s">
        <v>40</v>
      </c>
      <c r="J25" s="58" t="s">
        <v>487</v>
      </c>
      <c r="K25" s="184">
        <v>2</v>
      </c>
      <c r="L25" s="184">
        <f>IF(COUNTA(F25:F28)&lt;&gt;0,K25,0)</f>
        <v>2</v>
      </c>
      <c r="M25" s="60">
        <v>3</v>
      </c>
      <c r="N25" s="60">
        <f t="shared" si="0"/>
        <v>3</v>
      </c>
      <c r="O25" s="61" t="s">
        <v>21</v>
      </c>
      <c r="P25" s="41" cm="1">
        <f t="array" aca="1" ref="P25" ca="1">IF(F25&lt;&gt;"",SUMPRODUCT(MAX((INDIRECT(ADDRESS(1,COLUMN(K$1),2) &amp;":"&amp; ADDRESS(ROW(),COLUMN(K$1),4))&lt;&gt;"")*(ROW(INDIRECT(ADDRESS(1,COLUMN(K$1),2) &amp;":"&amp; ADDRESS(ROW(),COLUMN(K$1),4)))))),239)</f>
        <v>25</v>
      </c>
      <c r="Q25" s="41" t="str">
        <f t="shared" ca="1" si="1"/>
        <v/>
      </c>
      <c r="R25" s="41" t="str">
        <f t="shared" ca="1" si="2"/>
        <v/>
      </c>
      <c r="S25" s="41" t="str">
        <f t="shared" ca="1" si="3"/>
        <v/>
      </c>
      <c r="T25" s="63" t="str">
        <f t="shared" ca="1" si="4"/>
        <v/>
      </c>
      <c r="U25" s="63" t="str">
        <f t="shared" ca="1" si="5"/>
        <v/>
      </c>
      <c r="V25" s="64">
        <f t="shared" ca="1" si="6"/>
        <v>2</v>
      </c>
      <c r="W25" s="43" t="str">
        <f t="shared" ca="1" si="7"/>
        <v>Appoggio!$A$11:$A$13</v>
      </c>
      <c r="X25" s="65" t="s">
        <v>205</v>
      </c>
      <c r="Y25" s="118"/>
      <c r="Z25" s="111"/>
    </row>
    <row r="26" spans="1:26" ht="14.25" customHeight="1">
      <c r="A26" s="179"/>
      <c r="B26" s="162"/>
      <c r="C26" s="163"/>
      <c r="D26" s="55" t="s">
        <v>18</v>
      </c>
      <c r="E26" s="67"/>
      <c r="F26" s="106" t="s">
        <v>18</v>
      </c>
      <c r="G26" s="165"/>
      <c r="H26" s="164"/>
      <c r="I26" s="69" t="s">
        <v>41</v>
      </c>
      <c r="J26" s="69" t="s">
        <v>508</v>
      </c>
      <c r="K26" s="184"/>
      <c r="L26" s="184"/>
      <c r="M26" s="39">
        <v>2</v>
      </c>
      <c r="N26" s="39">
        <f t="shared" si="0"/>
        <v>2</v>
      </c>
      <c r="O26" s="40" t="s">
        <v>21</v>
      </c>
      <c r="P26" s="41" cm="1">
        <f t="array" aca="1" ref="P26" ca="1">IF(F26&lt;&gt;"",SUMPRODUCT(MAX((INDIRECT(ADDRESS(1,COLUMN(K$1),2) &amp;":"&amp; ADDRESS(ROW(),COLUMN(K$1),4))&lt;&gt;"")*(ROW(INDIRECT(ADDRESS(1,COLUMN(K$1),2) &amp;":"&amp; ADDRESS(ROW(),COLUMN(K$1),4)))))),239)</f>
        <v>25</v>
      </c>
      <c r="Q26" s="41" t="str">
        <f t="shared" ca="1" si="1"/>
        <v/>
      </c>
      <c r="R26" s="41" t="str">
        <f t="shared" ca="1" si="2"/>
        <v/>
      </c>
      <c r="S26" s="41" t="str">
        <f t="shared" ca="1" si="3"/>
        <v/>
      </c>
      <c r="T26" s="42" t="str">
        <f t="shared" ca="1" si="4"/>
        <v/>
      </c>
      <c r="U26" s="42" t="str">
        <f t="shared" ca="1" si="5"/>
        <v/>
      </c>
      <c r="V26" s="41">
        <f t="shared" ca="1" si="6"/>
        <v>2</v>
      </c>
      <c r="W26" s="45" t="str">
        <f t="shared" ca="1" si="7"/>
        <v>Appoggio!$A$11:$A$13</v>
      </c>
      <c r="X26" s="46" t="s">
        <v>206</v>
      </c>
      <c r="Y26" s="116"/>
      <c r="Z26" s="109"/>
    </row>
    <row r="27" spans="1:26" ht="14.25" customHeight="1">
      <c r="A27" s="179"/>
      <c r="B27" s="162"/>
      <c r="C27" s="163"/>
      <c r="D27" s="55" t="s">
        <v>18</v>
      </c>
      <c r="E27" s="67"/>
      <c r="F27" s="106" t="s">
        <v>18</v>
      </c>
      <c r="G27" s="165"/>
      <c r="H27" s="164"/>
      <c r="I27" s="69" t="s">
        <v>42</v>
      </c>
      <c r="J27" s="69" t="s">
        <v>509</v>
      </c>
      <c r="K27" s="184"/>
      <c r="L27" s="184"/>
      <c r="M27" s="39">
        <v>3</v>
      </c>
      <c r="N27" s="39">
        <f t="shared" si="0"/>
        <v>3</v>
      </c>
      <c r="O27" s="40" t="s">
        <v>21</v>
      </c>
      <c r="P27" s="41" cm="1">
        <f t="array" aca="1" ref="P27" ca="1">IF(F27&lt;&gt;"",SUMPRODUCT(MAX((INDIRECT(ADDRESS(1,COLUMN(K$1),2) &amp;":"&amp; ADDRESS(ROW(),COLUMN(K$1),4))&lt;&gt;"")*(ROW(INDIRECT(ADDRESS(1,COLUMN(K$1),2) &amp;":"&amp; ADDRESS(ROW(),COLUMN(K$1),4)))))),239)</f>
        <v>25</v>
      </c>
      <c r="Q27" s="41" t="str">
        <f t="shared" ca="1" si="1"/>
        <v/>
      </c>
      <c r="R27" s="41" t="str">
        <f t="shared" ca="1" si="2"/>
        <v/>
      </c>
      <c r="S27" s="41" t="str">
        <f t="shared" ca="1" si="3"/>
        <v/>
      </c>
      <c r="T27" s="42" t="str">
        <f t="shared" ca="1" si="4"/>
        <v/>
      </c>
      <c r="U27" s="42" t="str">
        <f t="shared" ca="1" si="5"/>
        <v/>
      </c>
      <c r="V27" s="41">
        <f t="shared" ca="1" si="6"/>
        <v>2</v>
      </c>
      <c r="W27" s="45" t="str">
        <f t="shared" ca="1" si="7"/>
        <v>Appoggio!$A$11:$A$13</v>
      </c>
      <c r="X27" s="46" t="s">
        <v>207</v>
      </c>
      <c r="Y27" s="116"/>
      <c r="Z27" s="109"/>
    </row>
    <row r="28" spans="1:26" ht="14.25" customHeight="1">
      <c r="A28" s="179"/>
      <c r="B28" s="162"/>
      <c r="C28" s="163"/>
      <c r="D28" s="55" t="s">
        <v>18</v>
      </c>
      <c r="E28" s="67"/>
      <c r="F28" s="106" t="s">
        <v>18</v>
      </c>
      <c r="G28" s="165"/>
      <c r="H28" s="164"/>
      <c r="I28" s="38" t="s">
        <v>43</v>
      </c>
      <c r="J28" s="38" t="s">
        <v>486</v>
      </c>
      <c r="K28" s="184"/>
      <c r="L28" s="184"/>
      <c r="M28" s="39">
        <v>2</v>
      </c>
      <c r="N28" s="39">
        <f t="shared" si="0"/>
        <v>2</v>
      </c>
      <c r="O28" s="48" t="s">
        <v>21</v>
      </c>
      <c r="P28" s="49" cm="1">
        <f t="array" aca="1" ref="P28" ca="1">IF(F28&lt;&gt;"",SUMPRODUCT(MAX((INDIRECT(ADDRESS(1,COLUMN(K$1),2) &amp;":"&amp; ADDRESS(ROW(),COLUMN(K$1),4))&lt;&gt;"")*(ROW(INDIRECT(ADDRESS(1,COLUMN(K$1),2) &amp;":"&amp; ADDRESS(ROW(),COLUMN(K$1),4)))))),239)</f>
        <v>25</v>
      </c>
      <c r="Q28" s="50" t="str">
        <f t="shared" ca="1" si="1"/>
        <v/>
      </c>
      <c r="R28" s="50" t="str">
        <f t="shared" ca="1" si="2"/>
        <v/>
      </c>
      <c r="S28" s="50" t="str">
        <f t="shared" ca="1" si="3"/>
        <v/>
      </c>
      <c r="T28" s="51" t="str">
        <f t="shared" ca="1" si="4"/>
        <v/>
      </c>
      <c r="U28" s="51" t="str">
        <f t="shared" ca="1" si="5"/>
        <v/>
      </c>
      <c r="V28" s="50">
        <f t="shared" ca="1" si="6"/>
        <v>2</v>
      </c>
      <c r="W28" s="70" t="str">
        <f t="shared" ca="1" si="7"/>
        <v>Appoggio!$A$11:$A$13</v>
      </c>
      <c r="X28" s="52" t="s">
        <v>208</v>
      </c>
      <c r="Y28" s="117"/>
      <c r="Z28" s="110"/>
    </row>
    <row r="29" spans="1:26" ht="14.25" customHeight="1">
      <c r="A29" s="179"/>
      <c r="B29" s="162" t="s">
        <v>44</v>
      </c>
      <c r="C29" s="163" t="s">
        <v>212</v>
      </c>
      <c r="D29" s="55" t="s">
        <v>18</v>
      </c>
      <c r="E29" s="67"/>
      <c r="F29" s="106" t="s">
        <v>18</v>
      </c>
      <c r="G29" s="220" t="str">
        <f>IF(L29&gt;0,"✔","")</f>
        <v>✔</v>
      </c>
      <c r="H29" s="164" t="s">
        <v>45</v>
      </c>
      <c r="I29" s="152" t="s">
        <v>556</v>
      </c>
      <c r="J29" s="152" t="s">
        <v>503</v>
      </c>
      <c r="K29" s="186">
        <v>2</v>
      </c>
      <c r="L29" s="186">
        <f>IF(COUNTA(F29:F35)&lt;&gt;0,K29,0)</f>
        <v>2</v>
      </c>
      <c r="M29" s="60">
        <v>3</v>
      </c>
      <c r="N29" s="60">
        <f t="shared" si="0"/>
        <v>3</v>
      </c>
      <c r="O29" s="61" t="s">
        <v>21</v>
      </c>
      <c r="P29" s="41" cm="1">
        <f t="array" aca="1" ref="P29" ca="1">IF(F29&lt;&gt;"",SUMPRODUCT(MAX((INDIRECT(ADDRESS(1,COLUMN(K$1),2) &amp;":"&amp; ADDRESS(ROW(),COLUMN(K$1),4))&lt;&gt;"")*(ROW(INDIRECT(ADDRESS(1,COLUMN(K$1),2) &amp;":"&amp; ADDRESS(ROW(),COLUMN(K$1),4)))))),239)</f>
        <v>29</v>
      </c>
      <c r="Q29" s="41" t="str">
        <f t="shared" ca="1" si="1"/>
        <v/>
      </c>
      <c r="R29" s="41" t="str">
        <f t="shared" ca="1" si="2"/>
        <v/>
      </c>
      <c r="S29" s="41" t="str">
        <f t="shared" ca="1" si="3"/>
        <v/>
      </c>
      <c r="T29" s="63" t="str">
        <f t="shared" ca="1" si="4"/>
        <v/>
      </c>
      <c r="U29" s="63" t="str">
        <f t="shared" ca="1" si="5"/>
        <v/>
      </c>
      <c r="V29" s="64">
        <f t="shared" ca="1" si="6"/>
        <v>2</v>
      </c>
      <c r="W29" s="43" t="str">
        <f t="shared" ca="1" si="7"/>
        <v>Appoggio!$A$11:$A$13</v>
      </c>
      <c r="X29" s="65" t="s">
        <v>210</v>
      </c>
      <c r="Y29" s="118"/>
      <c r="Z29" s="111"/>
    </row>
    <row r="30" spans="1:26" ht="14.25" customHeight="1">
      <c r="A30" s="179"/>
      <c r="B30" s="162"/>
      <c r="C30" s="163"/>
      <c r="D30" s="55" t="s">
        <v>18</v>
      </c>
      <c r="E30" s="67"/>
      <c r="F30" s="106" t="s">
        <v>18</v>
      </c>
      <c r="G30" s="220"/>
      <c r="H30" s="164"/>
      <c r="I30" s="152"/>
      <c r="J30" s="152"/>
      <c r="K30" s="186"/>
      <c r="L30" s="186"/>
      <c r="M30" s="39">
        <v>2</v>
      </c>
      <c r="N30" s="39">
        <f t="shared" si="0"/>
        <v>2</v>
      </c>
      <c r="O30" s="40" t="s">
        <v>21</v>
      </c>
      <c r="P30" s="41" cm="1">
        <f t="array" aca="1" ref="P30" ca="1">IF(F30&lt;&gt;"",SUMPRODUCT(MAX((INDIRECT(ADDRESS(1,COLUMN(K$1),2) &amp;":"&amp; ADDRESS(ROW(),COLUMN(K$1),4))&lt;&gt;"")*(ROW(INDIRECT(ADDRESS(1,COLUMN(K$1),2) &amp;":"&amp; ADDRESS(ROW(),COLUMN(K$1),4)))))),239)</f>
        <v>29</v>
      </c>
      <c r="Q30" s="41" t="str">
        <f t="shared" ca="1" si="1"/>
        <v/>
      </c>
      <c r="R30" s="41" t="str">
        <f t="shared" ca="1" si="2"/>
        <v/>
      </c>
      <c r="S30" s="41" t="str">
        <f t="shared" ca="1" si="3"/>
        <v/>
      </c>
      <c r="T30" s="42" t="str">
        <f t="shared" ca="1" si="4"/>
        <v/>
      </c>
      <c r="U30" s="42" t="str">
        <f t="shared" ca="1" si="5"/>
        <v/>
      </c>
      <c r="V30" s="41">
        <f t="shared" ca="1" si="6"/>
        <v>2</v>
      </c>
      <c r="W30" s="45" t="str">
        <f t="shared" ca="1" si="7"/>
        <v>Appoggio!$A$11:$A$13</v>
      </c>
      <c r="X30" s="46" t="s">
        <v>211</v>
      </c>
      <c r="Y30" s="116"/>
      <c r="Z30" s="109"/>
    </row>
    <row r="31" spans="1:26" ht="14.25" customHeight="1">
      <c r="A31" s="179"/>
      <c r="B31" s="162"/>
      <c r="C31" s="163"/>
      <c r="D31" s="55" t="s">
        <v>18</v>
      </c>
      <c r="E31" s="67"/>
      <c r="F31" s="106" t="s">
        <v>18</v>
      </c>
      <c r="G31" s="220"/>
      <c r="H31" s="164"/>
      <c r="I31" s="152"/>
      <c r="J31" s="152"/>
      <c r="K31" s="186"/>
      <c r="L31" s="186"/>
      <c r="M31" s="39">
        <v>2</v>
      </c>
      <c r="N31" s="39">
        <f t="shared" si="0"/>
        <v>2</v>
      </c>
      <c r="O31" s="40" t="s">
        <v>21</v>
      </c>
      <c r="P31" s="41" cm="1">
        <f t="array" aca="1" ref="P31" ca="1">IF(F31&lt;&gt;"",SUMPRODUCT(MAX((INDIRECT(ADDRESS(1,COLUMN(K$1),2) &amp;":"&amp; ADDRESS(ROW(),COLUMN(K$1),4))&lt;&gt;"")*(ROW(INDIRECT(ADDRESS(1,COLUMN(K$1),2) &amp;":"&amp; ADDRESS(ROW(),COLUMN(K$1),4)))))),239)</f>
        <v>29</v>
      </c>
      <c r="Q31" s="41" t="str">
        <f t="shared" ca="1" si="1"/>
        <v/>
      </c>
      <c r="R31" s="41" t="str">
        <f t="shared" ca="1" si="2"/>
        <v/>
      </c>
      <c r="S31" s="41" t="str">
        <f t="shared" ca="1" si="3"/>
        <v/>
      </c>
      <c r="T31" s="42" t="str">
        <f t="shared" ca="1" si="4"/>
        <v/>
      </c>
      <c r="U31" s="42" t="str">
        <f t="shared" ca="1" si="5"/>
        <v/>
      </c>
      <c r="V31" s="41">
        <f t="shared" ca="1" si="6"/>
        <v>2</v>
      </c>
      <c r="W31" s="45" t="str">
        <f t="shared" ca="1" si="7"/>
        <v>Appoggio!$A$11:$A$13</v>
      </c>
      <c r="X31" s="46" t="s">
        <v>213</v>
      </c>
      <c r="Y31" s="116"/>
      <c r="Z31" s="109"/>
    </row>
    <row r="32" spans="1:26" ht="14.25" customHeight="1">
      <c r="A32" s="179"/>
      <c r="B32" s="162"/>
      <c r="C32" s="163"/>
      <c r="D32" s="55" t="s">
        <v>18</v>
      </c>
      <c r="E32" s="67"/>
      <c r="F32" s="106" t="s">
        <v>18</v>
      </c>
      <c r="G32" s="220"/>
      <c r="H32" s="164"/>
      <c r="I32" s="152"/>
      <c r="J32" s="152"/>
      <c r="K32" s="186"/>
      <c r="L32" s="186"/>
      <c r="M32" s="39">
        <v>2</v>
      </c>
      <c r="N32" s="39">
        <f t="shared" si="0"/>
        <v>2</v>
      </c>
      <c r="O32" s="40" t="s">
        <v>21</v>
      </c>
      <c r="P32" s="41" cm="1">
        <f t="array" aca="1" ref="P32" ca="1">IF(F32&lt;&gt;"",SUMPRODUCT(MAX((INDIRECT(ADDRESS(1,COLUMN(K$1),2) &amp;":"&amp; ADDRESS(ROW(),COLUMN(K$1),4))&lt;&gt;"")*(ROW(INDIRECT(ADDRESS(1,COLUMN(K$1),2) &amp;":"&amp; ADDRESS(ROW(),COLUMN(K$1),4)))))),239)</f>
        <v>29</v>
      </c>
      <c r="Q32" s="41" t="str">
        <f t="shared" ca="1" si="1"/>
        <v/>
      </c>
      <c r="R32" s="41" t="str">
        <f t="shared" ca="1" si="2"/>
        <v/>
      </c>
      <c r="S32" s="41" t="str">
        <f t="shared" ca="1" si="3"/>
        <v/>
      </c>
      <c r="T32" s="42" t="str">
        <f t="shared" ca="1" si="4"/>
        <v/>
      </c>
      <c r="U32" s="42" t="str">
        <f t="shared" ca="1" si="5"/>
        <v/>
      </c>
      <c r="V32" s="41">
        <f t="shared" ca="1" si="6"/>
        <v>2</v>
      </c>
      <c r="W32" s="45" t="str">
        <f t="shared" ca="1" si="7"/>
        <v>Appoggio!$A$11:$A$13</v>
      </c>
      <c r="X32" s="46" t="s">
        <v>214</v>
      </c>
      <c r="Y32" s="116"/>
      <c r="Z32" s="109"/>
    </row>
    <row r="33" spans="1:26" ht="14.25" customHeight="1">
      <c r="A33" s="179"/>
      <c r="B33" s="162"/>
      <c r="C33" s="163"/>
      <c r="D33" s="55" t="s">
        <v>18</v>
      </c>
      <c r="E33" s="67"/>
      <c r="F33" s="106" t="s">
        <v>18</v>
      </c>
      <c r="G33" s="220"/>
      <c r="H33" s="164"/>
      <c r="I33" s="152"/>
      <c r="J33" s="152"/>
      <c r="K33" s="186"/>
      <c r="L33" s="186"/>
      <c r="M33" s="39">
        <v>2</v>
      </c>
      <c r="N33" s="39">
        <f t="shared" si="0"/>
        <v>2</v>
      </c>
      <c r="O33" s="40" t="s">
        <v>21</v>
      </c>
      <c r="P33" s="41" cm="1">
        <f t="array" aca="1" ref="P33" ca="1">IF(F33&lt;&gt;"",SUMPRODUCT(MAX((INDIRECT(ADDRESS(1,COLUMN(K$1),2) &amp;":"&amp; ADDRESS(ROW(),COLUMN(K$1),4))&lt;&gt;"")*(ROW(INDIRECT(ADDRESS(1,COLUMN(K$1),2) &amp;":"&amp; ADDRESS(ROW(),COLUMN(K$1),4)))))),239)</f>
        <v>29</v>
      </c>
      <c r="Q33" s="41" t="str">
        <f t="shared" ca="1" si="1"/>
        <v/>
      </c>
      <c r="R33" s="41" t="str">
        <f t="shared" ca="1" si="2"/>
        <v/>
      </c>
      <c r="S33" s="41" t="str">
        <f t="shared" ca="1" si="3"/>
        <v/>
      </c>
      <c r="T33" s="42" t="str">
        <f t="shared" ca="1" si="4"/>
        <v/>
      </c>
      <c r="U33" s="42" t="str">
        <f t="shared" ca="1" si="5"/>
        <v/>
      </c>
      <c r="V33" s="41">
        <f t="shared" ca="1" si="6"/>
        <v>2</v>
      </c>
      <c r="W33" s="45" t="str">
        <f t="shared" ca="1" si="7"/>
        <v>Appoggio!$A$11:$A$13</v>
      </c>
      <c r="X33" s="46" t="s">
        <v>215</v>
      </c>
      <c r="Y33" s="116"/>
      <c r="Z33" s="109"/>
    </row>
    <row r="34" spans="1:26" ht="14.25" customHeight="1">
      <c r="A34" s="179"/>
      <c r="B34" s="162"/>
      <c r="C34" s="163"/>
      <c r="D34" s="55" t="s">
        <v>18</v>
      </c>
      <c r="E34" s="67"/>
      <c r="F34" s="106" t="s">
        <v>18</v>
      </c>
      <c r="G34" s="220"/>
      <c r="H34" s="164"/>
      <c r="I34" s="152"/>
      <c r="J34" s="152"/>
      <c r="K34" s="186"/>
      <c r="L34" s="186"/>
      <c r="M34" s="127">
        <v>2</v>
      </c>
      <c r="N34" s="39">
        <f t="shared" si="0"/>
        <v>2</v>
      </c>
      <c r="O34" s="128" t="s">
        <v>21</v>
      </c>
      <c r="P34" s="41" cm="1">
        <f t="array" aca="1" ref="P34" ca="1">IF(F34&lt;&gt;"",SUMPRODUCT(MAX((INDIRECT(ADDRESS(1,COLUMN(K$1),2) &amp;":"&amp; ADDRESS(ROW(),COLUMN(K$1),4))&lt;&gt;"")*(ROW(INDIRECT(ADDRESS(1,COLUMN(K$1),2) &amp;":"&amp; ADDRESS(ROW(),COLUMN(K$1),4)))))),239)</f>
        <v>29</v>
      </c>
      <c r="Q34" s="41" t="str">
        <f t="shared" ref="Q34" ca="1" si="13">IF(Y34&lt;&gt;"",VLOOKUP(Y34,INDIRECT(O34),2,0),"")</f>
        <v/>
      </c>
      <c r="R34" s="41" t="str">
        <f t="shared" ref="R34" ca="1" si="14">IF(Q34&lt;&gt;"",IF(F34&lt;&gt;"",Q34*M34,0),"")</f>
        <v/>
      </c>
      <c r="S34" s="41" t="str">
        <f t="shared" ref="S34" ca="1" si="15">IF(R34&lt;&gt;"",IF(R34&lt;&gt;0,R34*INDIRECT(ADDRESS(P34,COLUMN(K$1),4,)),0),"")</f>
        <v/>
      </c>
      <c r="T34" s="42" t="str">
        <f t="shared" ref="T34" ca="1" si="16">IF(R34&lt;&gt;"",R34/SUMIFS(M$3:M$253,P$3:P$253,P34),"")</f>
        <v/>
      </c>
      <c r="U34" s="42" t="str">
        <f t="shared" ref="U34" ca="1" si="17">IF(R34&lt;&gt;"",SUMIFS(T$3:T$253,P$3:P$253,P34),"")</f>
        <v/>
      </c>
      <c r="V34" s="41">
        <f t="shared" ref="V34" ca="1" si="18">IFERROR(INDEX(K:K,P34),0)</f>
        <v>2</v>
      </c>
      <c r="W34" s="45" t="str">
        <f t="shared" ref="W34" ca="1" si="19">ADDRESS(ROW(INDIRECT(O34)),COLUMN(INDIRECT(O34)),1,1,"Appoggio")&amp;":"&amp;ADDRESS(ROW(INDIRECT(O34))+ROWS(INDIRECT(O34))-1,COLUMN(INDIRECT(O34)),1,1)</f>
        <v>Appoggio!$A$11:$A$13</v>
      </c>
      <c r="X34" s="132" t="s">
        <v>555</v>
      </c>
      <c r="Y34" s="133"/>
      <c r="Z34" s="109"/>
    </row>
    <row r="35" spans="1:26" ht="14.25" customHeight="1">
      <c r="A35" s="179"/>
      <c r="B35" s="162"/>
      <c r="C35" s="163"/>
      <c r="D35" s="55" t="s">
        <v>18</v>
      </c>
      <c r="E35" s="67"/>
      <c r="F35" s="106" t="s">
        <v>18</v>
      </c>
      <c r="G35" s="220"/>
      <c r="H35" s="164"/>
      <c r="I35" s="152"/>
      <c r="J35" s="152"/>
      <c r="K35" s="186"/>
      <c r="L35" s="186"/>
      <c r="M35" s="47">
        <v>2</v>
      </c>
      <c r="N35" s="47">
        <f t="shared" si="0"/>
        <v>2</v>
      </c>
      <c r="O35" s="40" t="s">
        <v>21</v>
      </c>
      <c r="P35" s="49" cm="1">
        <f t="array" aca="1" ref="P35" ca="1">IF(F35&lt;&gt;"",SUMPRODUCT(MAX((INDIRECT(ADDRESS(1,COLUMN(K$1),2) &amp;":"&amp; ADDRESS(ROW(),COLUMN(K$1),4))&lt;&gt;"")*(ROW(INDIRECT(ADDRESS(1,COLUMN(K$1),2) &amp;":"&amp; ADDRESS(ROW(),COLUMN(K$1),4)))))),239)</f>
        <v>29</v>
      </c>
      <c r="Q35" s="50" t="str">
        <f t="shared" ca="1" si="1"/>
        <v/>
      </c>
      <c r="R35" s="50" t="str">
        <f t="shared" ca="1" si="2"/>
        <v/>
      </c>
      <c r="S35" s="50" t="str">
        <f t="shared" ca="1" si="3"/>
        <v/>
      </c>
      <c r="T35" s="42" t="str">
        <f t="shared" ref="T35:T49" ca="1" si="20">IF(R35&lt;&gt;"",R35/SUMIFS(M$3:M$253,P$3:P$253,P35),"")</f>
        <v/>
      </c>
      <c r="U35" s="42" t="str">
        <f t="shared" ref="U35:U49" ca="1" si="21">IF(R35&lt;&gt;"",SUMIFS(T$3:T$253,P$3:P$253,P35),"")</f>
        <v/>
      </c>
      <c r="V35" s="41">
        <f t="shared" ca="1" si="6"/>
        <v>2</v>
      </c>
      <c r="W35" s="45" t="str">
        <f t="shared" ca="1" si="7"/>
        <v>Appoggio!$A$11:$A$13</v>
      </c>
      <c r="X35" s="46" t="s">
        <v>209</v>
      </c>
      <c r="Y35" s="117"/>
      <c r="Z35" s="109"/>
    </row>
    <row r="36" spans="1:26" ht="14.25" customHeight="1">
      <c r="A36" s="179"/>
      <c r="B36" s="162" t="s">
        <v>46</v>
      </c>
      <c r="C36" s="163" t="s">
        <v>216</v>
      </c>
      <c r="D36" s="55" t="s">
        <v>18</v>
      </c>
      <c r="E36" s="67"/>
      <c r="F36" s="106" t="s">
        <v>18</v>
      </c>
      <c r="G36" s="220" t="str">
        <f>IF(L36&gt;0,"✔","")</f>
        <v>✔</v>
      </c>
      <c r="H36" s="164" t="s">
        <v>47</v>
      </c>
      <c r="I36" s="153" t="s">
        <v>48</v>
      </c>
      <c r="J36" s="153" t="s">
        <v>488</v>
      </c>
      <c r="K36" s="187">
        <v>1</v>
      </c>
      <c r="L36" s="186">
        <f>IF(COUNTA(F36:F40)&lt;&gt;0,K36,0)</f>
        <v>1</v>
      </c>
      <c r="M36" s="39">
        <v>3</v>
      </c>
      <c r="N36" s="39">
        <f t="shared" si="0"/>
        <v>3</v>
      </c>
      <c r="O36" s="61" t="s">
        <v>21</v>
      </c>
      <c r="P36" s="41" cm="1">
        <f t="array" aca="1" ref="P36" ca="1">IF(F36&lt;&gt;"",SUMPRODUCT(MAX((INDIRECT(ADDRESS(1,COLUMN(K$1),2) &amp;":"&amp; ADDRESS(ROW(),COLUMN(K$1),4))&lt;&gt;"")*(ROW(INDIRECT(ADDRESS(1,COLUMN(K$1),2) &amp;":"&amp; ADDRESS(ROW(),COLUMN(K$1),4)))))),239)</f>
        <v>36</v>
      </c>
      <c r="Q36" s="41" t="str">
        <f t="shared" ca="1" si="1"/>
        <v/>
      </c>
      <c r="R36" s="41" t="str">
        <f t="shared" ca="1" si="2"/>
        <v/>
      </c>
      <c r="S36" s="41" t="str">
        <f t="shared" ca="1" si="3"/>
        <v/>
      </c>
      <c r="T36" s="63" t="str">
        <f t="shared" ca="1" si="20"/>
        <v/>
      </c>
      <c r="U36" s="63" t="str">
        <f t="shared" ca="1" si="21"/>
        <v/>
      </c>
      <c r="V36" s="64">
        <f t="shared" ca="1" si="6"/>
        <v>1</v>
      </c>
      <c r="W36" s="43" t="str">
        <f t="shared" ca="1" si="7"/>
        <v>Appoggio!$A$11:$A$13</v>
      </c>
      <c r="X36" s="65" t="s">
        <v>217</v>
      </c>
      <c r="Y36" s="118"/>
      <c r="Z36" s="111"/>
    </row>
    <row r="37" spans="1:26" ht="14.25" customHeight="1">
      <c r="A37" s="179"/>
      <c r="B37" s="162"/>
      <c r="C37" s="163"/>
      <c r="D37" s="55" t="s">
        <v>18</v>
      </c>
      <c r="E37" s="67"/>
      <c r="F37" s="106" t="s">
        <v>18</v>
      </c>
      <c r="G37" s="220"/>
      <c r="H37" s="164"/>
      <c r="I37" s="153"/>
      <c r="J37" s="153"/>
      <c r="K37" s="187"/>
      <c r="L37" s="186"/>
      <c r="M37" s="39">
        <v>2</v>
      </c>
      <c r="N37" s="39">
        <f t="shared" si="0"/>
        <v>2</v>
      </c>
      <c r="O37" s="40" t="s">
        <v>21</v>
      </c>
      <c r="P37" s="41" cm="1">
        <f t="array" aca="1" ref="P37" ca="1">IF(F37&lt;&gt;"",SUMPRODUCT(MAX((INDIRECT(ADDRESS(1,COLUMN(K$1),2) &amp;":"&amp; ADDRESS(ROW(),COLUMN(K$1),4))&lt;&gt;"")*(ROW(INDIRECT(ADDRESS(1,COLUMN(K$1),2) &amp;":"&amp; ADDRESS(ROW(),COLUMN(K$1),4)))))),239)</f>
        <v>36</v>
      </c>
      <c r="Q37" s="41" t="str">
        <f t="shared" ca="1" si="1"/>
        <v/>
      </c>
      <c r="R37" s="41" t="str">
        <f t="shared" ca="1" si="2"/>
        <v/>
      </c>
      <c r="S37" s="41" t="str">
        <f t="shared" ca="1" si="3"/>
        <v/>
      </c>
      <c r="T37" s="42" t="str">
        <f t="shared" ca="1" si="20"/>
        <v/>
      </c>
      <c r="U37" s="42" t="str">
        <f t="shared" ca="1" si="21"/>
        <v/>
      </c>
      <c r="V37" s="41">
        <f t="shared" ca="1" si="6"/>
        <v>1</v>
      </c>
      <c r="W37" s="45" t="str">
        <f t="shared" ca="1" si="7"/>
        <v>Appoggio!$A$11:$A$13</v>
      </c>
      <c r="X37" s="46" t="s">
        <v>218</v>
      </c>
      <c r="Y37" s="116"/>
      <c r="Z37" s="109"/>
    </row>
    <row r="38" spans="1:26" ht="14.25" customHeight="1">
      <c r="A38" s="179"/>
      <c r="B38" s="162"/>
      <c r="C38" s="163"/>
      <c r="D38" s="55" t="s">
        <v>18</v>
      </c>
      <c r="E38" s="67"/>
      <c r="F38" s="106" t="s">
        <v>18</v>
      </c>
      <c r="G38" s="220"/>
      <c r="H38" s="164"/>
      <c r="I38" s="153"/>
      <c r="J38" s="153"/>
      <c r="K38" s="187"/>
      <c r="L38" s="186"/>
      <c r="M38" s="39">
        <v>2</v>
      </c>
      <c r="N38" s="39">
        <f t="shared" si="0"/>
        <v>2</v>
      </c>
      <c r="O38" s="40" t="s">
        <v>21</v>
      </c>
      <c r="P38" s="41" cm="1">
        <f t="array" aca="1" ref="P38" ca="1">IF(F38&lt;&gt;"",SUMPRODUCT(MAX((INDIRECT(ADDRESS(1,COLUMN(K$1),2) &amp;":"&amp; ADDRESS(ROW(),COLUMN(K$1),4))&lt;&gt;"")*(ROW(INDIRECT(ADDRESS(1,COLUMN(K$1),2) &amp;":"&amp; ADDRESS(ROW(),COLUMN(K$1),4)))))),239)</f>
        <v>36</v>
      </c>
      <c r="Q38" s="41" t="str">
        <f t="shared" ca="1" si="1"/>
        <v/>
      </c>
      <c r="R38" s="41" t="str">
        <f t="shared" ca="1" si="2"/>
        <v/>
      </c>
      <c r="S38" s="41" t="str">
        <f t="shared" ca="1" si="3"/>
        <v/>
      </c>
      <c r="T38" s="42" t="str">
        <f t="shared" ca="1" si="20"/>
        <v/>
      </c>
      <c r="U38" s="42" t="str">
        <f t="shared" ca="1" si="21"/>
        <v/>
      </c>
      <c r="V38" s="41">
        <f t="shared" ca="1" si="6"/>
        <v>1</v>
      </c>
      <c r="W38" s="45" t="str">
        <f t="shared" ca="1" si="7"/>
        <v>Appoggio!$A$11:$A$13</v>
      </c>
      <c r="X38" s="46" t="s">
        <v>219</v>
      </c>
      <c r="Y38" s="116"/>
      <c r="Z38" s="109"/>
    </row>
    <row r="39" spans="1:26" ht="14.25" customHeight="1">
      <c r="A39" s="179"/>
      <c r="B39" s="162"/>
      <c r="C39" s="163"/>
      <c r="D39" s="55" t="s">
        <v>18</v>
      </c>
      <c r="E39" s="67"/>
      <c r="F39" s="106" t="s">
        <v>18</v>
      </c>
      <c r="G39" s="220"/>
      <c r="H39" s="164"/>
      <c r="I39" s="153"/>
      <c r="J39" s="153"/>
      <c r="K39" s="187"/>
      <c r="L39" s="186"/>
      <c r="M39" s="39">
        <v>3</v>
      </c>
      <c r="N39" s="39">
        <f t="shared" si="0"/>
        <v>3</v>
      </c>
      <c r="O39" s="40" t="s">
        <v>21</v>
      </c>
      <c r="P39" s="41" cm="1">
        <f t="array" aca="1" ref="P39" ca="1">IF(F39&lt;&gt;"",SUMPRODUCT(MAX((INDIRECT(ADDRESS(1,COLUMN(K$1),2) &amp;":"&amp; ADDRESS(ROW(),COLUMN(K$1),4))&lt;&gt;"")*(ROW(INDIRECT(ADDRESS(1,COLUMN(K$1),2) &amp;":"&amp; ADDRESS(ROW(),COLUMN(K$1),4)))))),239)</f>
        <v>36</v>
      </c>
      <c r="Q39" s="41" t="str">
        <f t="shared" ca="1" si="1"/>
        <v/>
      </c>
      <c r="R39" s="41" t="str">
        <f t="shared" ca="1" si="2"/>
        <v/>
      </c>
      <c r="S39" s="41" t="str">
        <f t="shared" ca="1" si="3"/>
        <v/>
      </c>
      <c r="T39" s="42" t="str">
        <f t="shared" ca="1" si="20"/>
        <v/>
      </c>
      <c r="U39" s="42" t="str">
        <f t="shared" ca="1" si="21"/>
        <v/>
      </c>
      <c r="V39" s="41">
        <f t="shared" ca="1" si="6"/>
        <v>1</v>
      </c>
      <c r="W39" s="45" t="str">
        <f t="shared" ca="1" si="7"/>
        <v>Appoggio!$A$11:$A$13</v>
      </c>
      <c r="X39" s="46" t="s">
        <v>220</v>
      </c>
      <c r="Y39" s="116"/>
      <c r="Z39" s="109"/>
    </row>
    <row r="40" spans="1:26" ht="14.25" customHeight="1">
      <c r="A40" s="179"/>
      <c r="B40" s="162"/>
      <c r="C40" s="163"/>
      <c r="D40" s="55" t="s">
        <v>18</v>
      </c>
      <c r="E40" s="67"/>
      <c r="F40" s="106" t="s">
        <v>18</v>
      </c>
      <c r="G40" s="220"/>
      <c r="H40" s="164"/>
      <c r="I40" s="153"/>
      <c r="J40" s="153"/>
      <c r="K40" s="187"/>
      <c r="L40" s="186"/>
      <c r="M40" s="39">
        <v>2</v>
      </c>
      <c r="N40" s="39">
        <f t="shared" si="0"/>
        <v>2</v>
      </c>
      <c r="O40" s="40" t="s">
        <v>21</v>
      </c>
      <c r="P40" s="49" cm="1">
        <f t="array" aca="1" ref="P40" ca="1">IF(F40&lt;&gt;"",SUMPRODUCT(MAX((INDIRECT(ADDRESS(1,COLUMN(K$1),2) &amp;":"&amp; ADDRESS(ROW(),COLUMN(K$1),4))&lt;&gt;"")*(ROW(INDIRECT(ADDRESS(1,COLUMN(K$1),2) &amp;":"&amp; ADDRESS(ROW(),COLUMN(K$1),4)))))),239)</f>
        <v>36</v>
      </c>
      <c r="Q40" s="50" t="str">
        <f t="shared" ca="1" si="1"/>
        <v/>
      </c>
      <c r="R40" s="50" t="str">
        <f t="shared" ca="1" si="2"/>
        <v/>
      </c>
      <c r="S40" s="50" t="str">
        <f t="shared" ca="1" si="3"/>
        <v/>
      </c>
      <c r="T40" s="42" t="str">
        <f t="shared" ca="1" si="20"/>
        <v/>
      </c>
      <c r="U40" s="42" t="str">
        <f t="shared" ca="1" si="21"/>
        <v/>
      </c>
      <c r="V40" s="41">
        <f t="shared" ca="1" si="6"/>
        <v>1</v>
      </c>
      <c r="W40" s="45" t="str">
        <f t="shared" ca="1" si="7"/>
        <v>Appoggio!$A$11:$A$13</v>
      </c>
      <c r="X40" s="46" t="s">
        <v>209</v>
      </c>
      <c r="Y40" s="117"/>
      <c r="Z40" s="109"/>
    </row>
    <row r="41" spans="1:26" ht="28">
      <c r="A41" s="179"/>
      <c r="B41" s="162" t="s">
        <v>49</v>
      </c>
      <c r="C41" s="163" t="s">
        <v>221</v>
      </c>
      <c r="D41" s="55" t="s">
        <v>18</v>
      </c>
      <c r="E41" s="56" t="s">
        <v>18</v>
      </c>
      <c r="F41" s="106" t="s">
        <v>18</v>
      </c>
      <c r="G41" s="221" t="str">
        <f>IF(L41&gt;0,"✔","")</f>
        <v>✔</v>
      </c>
      <c r="H41" s="162" t="s">
        <v>50</v>
      </c>
      <c r="I41" s="154" t="s">
        <v>51</v>
      </c>
      <c r="J41" s="154" t="s">
        <v>489</v>
      </c>
      <c r="K41" s="187">
        <v>2</v>
      </c>
      <c r="L41" s="187">
        <f>IF(COUNTA(F41:F45)&lt;&gt;0,K41,0)</f>
        <v>2</v>
      </c>
      <c r="M41" s="60">
        <v>3</v>
      </c>
      <c r="N41" s="60">
        <f t="shared" si="0"/>
        <v>3</v>
      </c>
      <c r="O41" s="61" t="s">
        <v>21</v>
      </c>
      <c r="P41" s="41" cm="1">
        <f t="array" aca="1" ref="P41" ca="1">IF(F41&lt;&gt;"",SUMPRODUCT(MAX((INDIRECT(ADDRESS(1,COLUMN(K$1),2) &amp;":"&amp; ADDRESS(ROW(),COLUMN(K$1),4))&lt;&gt;"")*(ROW(INDIRECT(ADDRESS(1,COLUMN(K$1),2) &amp;":"&amp; ADDRESS(ROW(),COLUMN(K$1),4)))))),239)</f>
        <v>41</v>
      </c>
      <c r="Q41" s="41" t="str">
        <f t="shared" ca="1" si="1"/>
        <v/>
      </c>
      <c r="R41" s="41" t="str">
        <f t="shared" ca="1" si="2"/>
        <v/>
      </c>
      <c r="S41" s="41" t="str">
        <f t="shared" ca="1" si="3"/>
        <v/>
      </c>
      <c r="T41" s="63" t="str">
        <f t="shared" ca="1" si="20"/>
        <v/>
      </c>
      <c r="U41" s="63" t="str">
        <f t="shared" ca="1" si="21"/>
        <v/>
      </c>
      <c r="V41" s="64">
        <f t="shared" ca="1" si="6"/>
        <v>2</v>
      </c>
      <c r="W41" s="43" t="str">
        <f t="shared" ca="1" si="7"/>
        <v>Appoggio!$A$11:$A$13</v>
      </c>
      <c r="X41" s="65" t="s">
        <v>223</v>
      </c>
      <c r="Y41" s="118"/>
      <c r="Z41" s="111"/>
    </row>
    <row r="42" spans="1:26" ht="28">
      <c r="A42" s="179"/>
      <c r="B42" s="162"/>
      <c r="C42" s="163"/>
      <c r="D42" s="55" t="s">
        <v>18</v>
      </c>
      <c r="E42" s="56" t="s">
        <v>18</v>
      </c>
      <c r="F42" s="106" t="s">
        <v>18</v>
      </c>
      <c r="G42" s="221"/>
      <c r="H42" s="162"/>
      <c r="I42" s="154"/>
      <c r="J42" s="154"/>
      <c r="K42" s="187"/>
      <c r="L42" s="187"/>
      <c r="M42" s="39">
        <v>2</v>
      </c>
      <c r="N42" s="39">
        <f t="shared" si="0"/>
        <v>2</v>
      </c>
      <c r="O42" s="40" t="s">
        <v>21</v>
      </c>
      <c r="P42" s="41" cm="1">
        <f t="array" aca="1" ref="P42" ca="1">IF(F42&lt;&gt;"",SUMPRODUCT(MAX((INDIRECT(ADDRESS(1,COLUMN(K$1),2) &amp;":"&amp; ADDRESS(ROW(),COLUMN(K$1),4))&lt;&gt;"")*(ROW(INDIRECT(ADDRESS(1,COLUMN(K$1),2) &amp;":"&amp; ADDRESS(ROW(),COLUMN(K$1),4)))))),239)</f>
        <v>41</v>
      </c>
      <c r="Q42" s="41" t="str">
        <f t="shared" ca="1" si="1"/>
        <v/>
      </c>
      <c r="R42" s="41" t="str">
        <f t="shared" ca="1" si="2"/>
        <v/>
      </c>
      <c r="S42" s="41" t="str">
        <f t="shared" ca="1" si="3"/>
        <v/>
      </c>
      <c r="T42" s="42" t="str">
        <f t="shared" ca="1" si="20"/>
        <v/>
      </c>
      <c r="U42" s="42" t="str">
        <f t="shared" ca="1" si="21"/>
        <v/>
      </c>
      <c r="V42" s="41">
        <f t="shared" ca="1" si="6"/>
        <v>2</v>
      </c>
      <c r="W42" s="45" t="str">
        <f t="shared" ca="1" si="7"/>
        <v>Appoggio!$A$11:$A$13</v>
      </c>
      <c r="X42" s="46" t="s">
        <v>224</v>
      </c>
      <c r="Y42" s="116"/>
      <c r="Z42" s="109"/>
    </row>
    <row r="43" spans="1:26" ht="42">
      <c r="A43" s="179"/>
      <c r="B43" s="162"/>
      <c r="C43" s="163"/>
      <c r="D43" s="55" t="s">
        <v>18</v>
      </c>
      <c r="E43" s="56" t="s">
        <v>18</v>
      </c>
      <c r="F43" s="106" t="s">
        <v>18</v>
      </c>
      <c r="G43" s="221"/>
      <c r="H43" s="162"/>
      <c r="I43" s="66" t="s">
        <v>52</v>
      </c>
      <c r="J43" s="66" t="s">
        <v>490</v>
      </c>
      <c r="K43" s="187"/>
      <c r="L43" s="187"/>
      <c r="M43" s="39">
        <v>3</v>
      </c>
      <c r="N43" s="39">
        <f t="shared" si="0"/>
        <v>3</v>
      </c>
      <c r="O43" s="40" t="s">
        <v>21</v>
      </c>
      <c r="P43" s="41" cm="1">
        <f t="array" aca="1" ref="P43" ca="1">IF(F43&lt;&gt;"",SUMPRODUCT(MAX((INDIRECT(ADDRESS(1,COLUMN(K$1),2) &amp;":"&amp; ADDRESS(ROW(),COLUMN(K$1),4))&lt;&gt;"")*(ROW(INDIRECT(ADDRESS(1,COLUMN(K$1),2) &amp;":"&amp; ADDRESS(ROW(),COLUMN(K$1),4)))))),239)</f>
        <v>41</v>
      </c>
      <c r="Q43" s="41" t="str">
        <f t="shared" ca="1" si="1"/>
        <v/>
      </c>
      <c r="R43" s="41" t="str">
        <f t="shared" ca="1" si="2"/>
        <v/>
      </c>
      <c r="S43" s="41" t="str">
        <f t="shared" ca="1" si="3"/>
        <v/>
      </c>
      <c r="T43" s="42" t="str">
        <f t="shared" ca="1" si="20"/>
        <v/>
      </c>
      <c r="U43" s="42" t="str">
        <f t="shared" ca="1" si="21"/>
        <v/>
      </c>
      <c r="V43" s="41">
        <f t="shared" ca="1" si="6"/>
        <v>2</v>
      </c>
      <c r="W43" s="45" t="str">
        <f t="shared" ca="1" si="7"/>
        <v>Appoggio!$A$11:$A$13</v>
      </c>
      <c r="X43" s="46" t="s">
        <v>222</v>
      </c>
      <c r="Y43" s="116"/>
      <c r="Z43" s="109"/>
    </row>
    <row r="44" spans="1:26" ht="21">
      <c r="A44" s="179"/>
      <c r="B44" s="162"/>
      <c r="C44" s="163"/>
      <c r="D44" s="55" t="s">
        <v>18</v>
      </c>
      <c r="E44" s="56" t="s">
        <v>18</v>
      </c>
      <c r="F44" s="106" t="s">
        <v>18</v>
      </c>
      <c r="G44" s="221"/>
      <c r="H44" s="162"/>
      <c r="I44" s="72" t="s">
        <v>53</v>
      </c>
      <c r="J44" s="72" t="s">
        <v>489</v>
      </c>
      <c r="K44" s="187"/>
      <c r="L44" s="187"/>
      <c r="M44" s="39">
        <v>1</v>
      </c>
      <c r="N44" s="39">
        <f t="shared" si="0"/>
        <v>1</v>
      </c>
      <c r="O44" s="40" t="s">
        <v>21</v>
      </c>
      <c r="P44" s="41" cm="1">
        <f t="array" aca="1" ref="P44" ca="1">IF(F44&lt;&gt;"",SUMPRODUCT(MAX((INDIRECT(ADDRESS(1,COLUMN(K$1),2) &amp;":"&amp; ADDRESS(ROW(),COLUMN(K$1),4))&lt;&gt;"")*(ROW(INDIRECT(ADDRESS(1,COLUMN(K$1),2) &amp;":"&amp; ADDRESS(ROW(),COLUMN(K$1),4)))))),239)</f>
        <v>41</v>
      </c>
      <c r="Q44" s="41" t="str">
        <f t="shared" ca="1" si="1"/>
        <v/>
      </c>
      <c r="R44" s="41" t="str">
        <f t="shared" ca="1" si="2"/>
        <v/>
      </c>
      <c r="S44" s="41" t="str">
        <f t="shared" ca="1" si="3"/>
        <v/>
      </c>
      <c r="T44" s="42" t="str">
        <f t="shared" ca="1" si="20"/>
        <v/>
      </c>
      <c r="U44" s="42" t="str">
        <f t="shared" ca="1" si="21"/>
        <v/>
      </c>
      <c r="V44" s="41">
        <f t="shared" ca="1" si="6"/>
        <v>2</v>
      </c>
      <c r="W44" s="45" t="str">
        <f t="shared" ca="1" si="7"/>
        <v>Appoggio!$A$11:$A$13</v>
      </c>
      <c r="X44" s="46" t="s">
        <v>225</v>
      </c>
      <c r="Y44" s="116"/>
      <c r="Z44" s="109"/>
    </row>
    <row r="45" spans="1:26" ht="28">
      <c r="A45" s="179"/>
      <c r="B45" s="162"/>
      <c r="C45" s="163"/>
      <c r="D45" s="55" t="s">
        <v>18</v>
      </c>
      <c r="E45" s="56" t="s">
        <v>18</v>
      </c>
      <c r="F45" s="106" t="s">
        <v>18</v>
      </c>
      <c r="G45" s="221"/>
      <c r="H45" s="162"/>
      <c r="I45" s="69"/>
      <c r="J45" s="69" t="s">
        <v>490</v>
      </c>
      <c r="K45" s="187"/>
      <c r="L45" s="187"/>
      <c r="M45" s="39">
        <v>2</v>
      </c>
      <c r="N45" s="39">
        <f t="shared" si="0"/>
        <v>2</v>
      </c>
      <c r="O45" s="40" t="s">
        <v>21</v>
      </c>
      <c r="P45" s="49" cm="1">
        <f t="array" aca="1" ref="P45" ca="1">IF(F45&lt;&gt;"",SUMPRODUCT(MAX((INDIRECT(ADDRESS(1,COLUMN(K$1),2) &amp;":"&amp; ADDRESS(ROW(),COLUMN(K$1),4))&lt;&gt;"")*(ROW(INDIRECT(ADDRESS(1,COLUMN(K$1),2) &amp;":"&amp; ADDRESS(ROW(),COLUMN(K$1),4)))))),239)</f>
        <v>41</v>
      </c>
      <c r="Q45" s="50" t="str">
        <f t="shared" ca="1" si="1"/>
        <v/>
      </c>
      <c r="R45" s="50" t="str">
        <f t="shared" ca="1" si="2"/>
        <v/>
      </c>
      <c r="S45" s="50" t="str">
        <f t="shared" ca="1" si="3"/>
        <v/>
      </c>
      <c r="T45" s="51" t="str">
        <f t="shared" ca="1" si="20"/>
        <v/>
      </c>
      <c r="U45" s="42" t="str">
        <f t="shared" ca="1" si="21"/>
        <v/>
      </c>
      <c r="V45" s="41">
        <f t="shared" ca="1" si="6"/>
        <v>2</v>
      </c>
      <c r="W45" s="45" t="str">
        <f t="shared" ca="1" si="7"/>
        <v>Appoggio!$A$11:$A$13</v>
      </c>
      <c r="X45" s="46" t="s">
        <v>226</v>
      </c>
      <c r="Y45" s="117"/>
      <c r="Z45" s="109"/>
    </row>
    <row r="46" spans="1:26" ht="23.25" customHeight="1">
      <c r="A46" s="179"/>
      <c r="B46" s="162" t="s">
        <v>54</v>
      </c>
      <c r="C46" s="163" t="s">
        <v>227</v>
      </c>
      <c r="D46" s="55" t="s">
        <v>18</v>
      </c>
      <c r="E46" s="67"/>
      <c r="F46" s="106" t="s">
        <v>18</v>
      </c>
      <c r="G46" s="202" t="str">
        <f>IF(L46&gt;0,"✔","")</f>
        <v>✔</v>
      </c>
      <c r="H46" s="164" t="s">
        <v>55</v>
      </c>
      <c r="I46" s="73" t="s">
        <v>231</v>
      </c>
      <c r="J46" s="73" t="s">
        <v>491</v>
      </c>
      <c r="K46" s="185">
        <v>2</v>
      </c>
      <c r="L46" s="185">
        <f>IF(COUNTA(F46:F52)&lt;&gt;0,K46,0)</f>
        <v>2</v>
      </c>
      <c r="M46" s="60">
        <v>1</v>
      </c>
      <c r="N46" s="60">
        <f t="shared" si="0"/>
        <v>1</v>
      </c>
      <c r="O46" s="61" t="s">
        <v>21</v>
      </c>
      <c r="P46" s="41" cm="1">
        <f t="array" aca="1" ref="P46" ca="1">IF(F46&lt;&gt;"",SUMPRODUCT(MAX((INDIRECT(ADDRESS(1,COLUMN(K$1),2) &amp;":"&amp; ADDRESS(ROW(),COLUMN(K$1),4))&lt;&gt;"")*(ROW(INDIRECT(ADDRESS(1,COLUMN(K$1),2) &amp;":"&amp; ADDRESS(ROW(),COLUMN(K$1),4)))))),239)</f>
        <v>46</v>
      </c>
      <c r="Q46" s="41" t="str">
        <f t="shared" ca="1" si="1"/>
        <v/>
      </c>
      <c r="R46" s="41" t="str">
        <f t="shared" ca="1" si="2"/>
        <v/>
      </c>
      <c r="S46" s="41" t="str">
        <f t="shared" ca="1" si="3"/>
        <v/>
      </c>
      <c r="T46" s="62" t="str">
        <f t="shared" ca="1" si="20"/>
        <v/>
      </c>
      <c r="U46" s="63" t="str">
        <f t="shared" ca="1" si="21"/>
        <v/>
      </c>
      <c r="V46" s="64">
        <f t="shared" ca="1" si="6"/>
        <v>2</v>
      </c>
      <c r="W46" s="43" t="str">
        <f t="shared" ca="1" si="7"/>
        <v>Appoggio!$A$11:$A$13</v>
      </c>
      <c r="X46" s="65" t="s">
        <v>233</v>
      </c>
      <c r="Y46" s="118"/>
      <c r="Z46" s="111"/>
    </row>
    <row r="47" spans="1:26" ht="23.25" customHeight="1">
      <c r="A47" s="179"/>
      <c r="B47" s="162"/>
      <c r="C47" s="163"/>
      <c r="D47" s="55" t="s">
        <v>18</v>
      </c>
      <c r="E47" s="67"/>
      <c r="F47" s="106" t="s">
        <v>18</v>
      </c>
      <c r="G47" s="202"/>
      <c r="H47" s="164"/>
      <c r="I47" s="74" t="s">
        <v>232</v>
      </c>
      <c r="J47" s="74" t="s">
        <v>492</v>
      </c>
      <c r="K47" s="185"/>
      <c r="L47" s="185"/>
      <c r="M47" s="39">
        <v>3</v>
      </c>
      <c r="N47" s="39">
        <f t="shared" si="0"/>
        <v>3</v>
      </c>
      <c r="O47" s="40" t="s">
        <v>21</v>
      </c>
      <c r="P47" s="41" cm="1">
        <f t="array" aca="1" ref="P47" ca="1">IF(F47&lt;&gt;"",SUMPRODUCT(MAX((INDIRECT(ADDRESS(1,COLUMN(K$1),2) &amp;":"&amp; ADDRESS(ROW(),COLUMN(K$1),4))&lt;&gt;"")*(ROW(INDIRECT(ADDRESS(1,COLUMN(K$1),2) &amp;":"&amp; ADDRESS(ROW(),COLUMN(K$1),4)))))),239)</f>
        <v>46</v>
      </c>
      <c r="Q47" s="41" t="str">
        <f t="shared" ref="Q47" ca="1" si="22">IF(Y47&lt;&gt;"",VLOOKUP(Y47,INDIRECT(O47),2,0),"")</f>
        <v/>
      </c>
      <c r="R47" s="41" t="str">
        <f t="shared" ca="1" si="2"/>
        <v/>
      </c>
      <c r="S47" s="41" t="str">
        <f t="shared" ca="1" si="3"/>
        <v/>
      </c>
      <c r="T47" s="42" t="str">
        <f t="shared" ca="1" si="20"/>
        <v/>
      </c>
      <c r="U47" s="42" t="str">
        <f t="shared" ca="1" si="21"/>
        <v/>
      </c>
      <c r="V47" s="41">
        <f t="shared" ca="1" si="6"/>
        <v>2</v>
      </c>
      <c r="W47" s="45" t="str">
        <f t="shared" ca="1" si="7"/>
        <v>Appoggio!$A$11:$A$13</v>
      </c>
      <c r="X47" s="65" t="s">
        <v>234</v>
      </c>
      <c r="Y47" s="116"/>
      <c r="Z47" s="112"/>
    </row>
    <row r="48" spans="1:26" ht="14.25" customHeight="1">
      <c r="A48" s="179"/>
      <c r="B48" s="162"/>
      <c r="C48" s="163"/>
      <c r="D48" s="55" t="s">
        <v>18</v>
      </c>
      <c r="E48" s="67"/>
      <c r="F48" s="106" t="s">
        <v>18</v>
      </c>
      <c r="G48" s="202"/>
      <c r="H48" s="164"/>
      <c r="I48" s="66" t="s">
        <v>56</v>
      </c>
      <c r="J48" s="66" t="s">
        <v>493</v>
      </c>
      <c r="K48" s="185"/>
      <c r="L48" s="185"/>
      <c r="M48" s="39">
        <v>3</v>
      </c>
      <c r="N48" s="39">
        <f t="shared" si="0"/>
        <v>3</v>
      </c>
      <c r="O48" s="40" t="s">
        <v>21</v>
      </c>
      <c r="P48" s="41" cm="1">
        <f t="array" aca="1" ref="P48" ca="1">IF(F48&lt;&gt;"",SUMPRODUCT(MAX((INDIRECT(ADDRESS(1,COLUMN(K$1),2) &amp;":"&amp; ADDRESS(ROW(),COLUMN(K$1),4))&lt;&gt;"")*(ROW(INDIRECT(ADDRESS(1,COLUMN(K$1),2) &amp;":"&amp; ADDRESS(ROW(),COLUMN(K$1),4)))))),239)</f>
        <v>46</v>
      </c>
      <c r="Q48" s="41" t="str">
        <f t="shared" ca="1" si="1"/>
        <v/>
      </c>
      <c r="R48" s="41" t="str">
        <f t="shared" ca="1" si="2"/>
        <v/>
      </c>
      <c r="S48" s="41" t="str">
        <f t="shared" ca="1" si="3"/>
        <v/>
      </c>
      <c r="T48" s="42" t="str">
        <f t="shared" ca="1" si="20"/>
        <v/>
      </c>
      <c r="U48" s="42" t="str">
        <f t="shared" ca="1" si="21"/>
        <v/>
      </c>
      <c r="V48" s="41">
        <f t="shared" ca="1" si="6"/>
        <v>2</v>
      </c>
      <c r="W48" s="45" t="str">
        <f t="shared" ca="1" si="7"/>
        <v>Appoggio!$A$11:$A$13</v>
      </c>
      <c r="X48" s="46" t="s">
        <v>228</v>
      </c>
      <c r="Y48" s="116"/>
      <c r="Z48" s="109"/>
    </row>
    <row r="49" spans="1:26" ht="56">
      <c r="A49" s="179"/>
      <c r="B49" s="162"/>
      <c r="C49" s="163"/>
      <c r="D49" s="55" t="s">
        <v>18</v>
      </c>
      <c r="E49" s="67"/>
      <c r="F49" s="106" t="s">
        <v>18</v>
      </c>
      <c r="G49" s="202"/>
      <c r="H49" s="164"/>
      <c r="I49" s="75" t="s">
        <v>57</v>
      </c>
      <c r="J49" s="74" t="s">
        <v>532</v>
      </c>
      <c r="K49" s="185"/>
      <c r="L49" s="185"/>
      <c r="M49" s="39">
        <v>3</v>
      </c>
      <c r="N49" s="39">
        <f t="shared" si="0"/>
        <v>3</v>
      </c>
      <c r="O49" s="40" t="s">
        <v>21</v>
      </c>
      <c r="P49" s="41" cm="1">
        <f t="array" aca="1" ref="P49" ca="1">IF(F49&lt;&gt;"",SUMPRODUCT(MAX((INDIRECT(ADDRESS(1,COLUMN(K$1),2) &amp;":"&amp; ADDRESS(ROW(),COLUMN(K$1),4))&lt;&gt;"")*(ROW(INDIRECT(ADDRESS(1,COLUMN(K$1),2) &amp;":"&amp; ADDRESS(ROW(),COLUMN(K$1),4)))))),239)</f>
        <v>46</v>
      </c>
      <c r="Q49" s="41" t="str">
        <f t="shared" ca="1" si="1"/>
        <v/>
      </c>
      <c r="R49" s="41" t="str">
        <f t="shared" ca="1" si="2"/>
        <v/>
      </c>
      <c r="S49" s="41" t="str">
        <f t="shared" ca="1" si="3"/>
        <v/>
      </c>
      <c r="T49" s="42" t="str">
        <f t="shared" ca="1" si="20"/>
        <v/>
      </c>
      <c r="U49" s="42" t="str">
        <f t="shared" ca="1" si="21"/>
        <v/>
      </c>
      <c r="V49" s="41">
        <f t="shared" ca="1" si="6"/>
        <v>2</v>
      </c>
      <c r="W49" s="45" t="str">
        <f t="shared" ca="1" si="7"/>
        <v>Appoggio!$A$11:$A$13</v>
      </c>
      <c r="X49" s="46" t="s">
        <v>229</v>
      </c>
      <c r="Y49" s="116"/>
      <c r="Z49" s="109"/>
    </row>
    <row r="50" spans="1:26" ht="21">
      <c r="A50" s="179"/>
      <c r="B50" s="162"/>
      <c r="C50" s="163"/>
      <c r="D50" s="55" t="s">
        <v>18</v>
      </c>
      <c r="E50" s="55" t="s">
        <v>18</v>
      </c>
      <c r="F50" s="106" t="s">
        <v>18</v>
      </c>
      <c r="G50" s="202"/>
      <c r="H50" s="164"/>
      <c r="I50" s="136"/>
      <c r="J50" s="136" t="s">
        <v>539</v>
      </c>
      <c r="K50" s="185"/>
      <c r="L50" s="185"/>
      <c r="M50" s="127">
        <v>2</v>
      </c>
      <c r="N50" s="39">
        <f t="shared" si="0"/>
        <v>2</v>
      </c>
      <c r="O50" s="128" t="s">
        <v>21</v>
      </c>
      <c r="P50" s="41" cm="1">
        <f t="array" aca="1" ref="P50" ca="1">IF(F50&lt;&gt;"",SUMPRODUCT(MAX((INDIRECT(ADDRESS(1,COLUMN(K$1),2) &amp;":"&amp; ADDRESS(ROW(),COLUMN(K$1),4))&lt;&gt;"")*(ROW(INDIRECT(ADDRESS(1,COLUMN(K$1),2) &amp;":"&amp; ADDRESS(ROW(),COLUMN(K$1),4)))))),239)</f>
        <v>46</v>
      </c>
      <c r="Q50" s="41" t="str">
        <f t="shared" ref="Q50" ca="1" si="23">IF(Y50&lt;&gt;"",VLOOKUP(Y50,INDIRECT(O50),2,0),"")</f>
        <v/>
      </c>
      <c r="R50" s="41" t="str">
        <f t="shared" ref="R50" ca="1" si="24">IF(Q50&lt;&gt;"",IF(F50&lt;&gt;"",Q50*M50,0),"")</f>
        <v/>
      </c>
      <c r="S50" s="41" t="str">
        <f t="shared" ref="S50" ca="1" si="25">IF(R50&lt;&gt;"",IF(R50&lt;&gt;0,R50*INDIRECT(ADDRESS(P50,COLUMN(K$1),4,)),0),"")</f>
        <v/>
      </c>
      <c r="T50" s="42" t="str">
        <f t="shared" ref="T50" ca="1" si="26">IF(R50&lt;&gt;"",R50/SUMIFS(M$3:M$253,P$3:P$253,P50),"")</f>
        <v/>
      </c>
      <c r="U50" s="42" t="str">
        <f t="shared" ref="U50" ca="1" si="27">IF(R50&lt;&gt;"",SUMIFS(T$3:T$253,P$3:P$253,P50),"")</f>
        <v/>
      </c>
      <c r="V50" s="41">
        <f t="shared" ref="V50" ca="1" si="28">IFERROR(INDEX(K:K,P50),0)</f>
        <v>2</v>
      </c>
      <c r="W50" s="45" t="str">
        <f t="shared" ref="W50" ca="1" si="29">ADDRESS(ROW(INDIRECT(O50)),COLUMN(INDIRECT(O50)),1,1,"Appoggio")&amp;":"&amp;ADDRESS(ROW(INDIRECT(O50))+ROWS(INDIRECT(O50))-1,COLUMN(INDIRECT(O50)),1,1)</f>
        <v>Appoggio!$A$11:$A$13</v>
      </c>
      <c r="X50" s="132" t="s">
        <v>540</v>
      </c>
      <c r="Y50" s="116"/>
      <c r="Z50" s="109"/>
    </row>
    <row r="51" spans="1:26" ht="14.25" customHeight="1">
      <c r="A51" s="179"/>
      <c r="B51" s="162"/>
      <c r="C51" s="163"/>
      <c r="D51" s="55" t="s">
        <v>18</v>
      </c>
      <c r="E51" s="67"/>
      <c r="F51" s="106" t="s">
        <v>18</v>
      </c>
      <c r="G51" s="202"/>
      <c r="H51" s="164"/>
      <c r="I51" s="66"/>
      <c r="J51" s="66"/>
      <c r="K51" s="185"/>
      <c r="L51" s="185"/>
      <c r="M51" s="39">
        <v>2</v>
      </c>
      <c r="N51" s="39">
        <f t="shared" si="0"/>
        <v>2</v>
      </c>
      <c r="O51" s="40" t="s">
        <v>21</v>
      </c>
      <c r="P51" s="41" cm="1">
        <f t="array" aca="1" ref="P51" ca="1">IF(F51&lt;&gt;"",SUMPRODUCT(MAX((INDIRECT(ADDRESS(1,COLUMN(K$1),2) &amp;":"&amp; ADDRESS(ROW(),COLUMN(K$1),4))&lt;&gt;"")*(ROW(INDIRECT(ADDRESS(1,COLUMN(K$1),2) &amp;":"&amp; ADDRESS(ROW(),COLUMN(K$1),4)))))),239)</f>
        <v>46</v>
      </c>
      <c r="Q51" s="41" t="str">
        <f t="shared" ca="1" si="1"/>
        <v/>
      </c>
      <c r="R51" s="41" t="str">
        <f t="shared" ca="1" si="2"/>
        <v/>
      </c>
      <c r="S51" s="41" t="str">
        <f t="shared" ca="1" si="3"/>
        <v/>
      </c>
      <c r="T51" s="42" t="str">
        <f t="shared" ref="T51:T57" ca="1" si="30">IF(R51&lt;&gt;"",R51/SUMIFS(M$3:M$253,P$3:P$253,P51),"")</f>
        <v/>
      </c>
      <c r="U51" s="42" t="str">
        <f t="shared" ref="U51:U57" ca="1" si="31">IF(R51&lt;&gt;"",SUMIFS(T$3:T$253,P$3:P$253,P51),"")</f>
        <v/>
      </c>
      <c r="V51" s="41">
        <f t="shared" ca="1" si="6"/>
        <v>2</v>
      </c>
      <c r="W51" s="45" t="str">
        <f t="shared" ca="1" si="7"/>
        <v>Appoggio!$A$11:$A$13</v>
      </c>
      <c r="X51" s="46" t="s">
        <v>230</v>
      </c>
      <c r="Y51" s="116"/>
      <c r="Z51" s="109"/>
    </row>
    <row r="52" spans="1:26" ht="14.25" customHeight="1">
      <c r="A52" s="179"/>
      <c r="B52" s="162"/>
      <c r="C52" s="163"/>
      <c r="D52" s="55" t="s">
        <v>18</v>
      </c>
      <c r="E52" s="67"/>
      <c r="F52" s="106" t="s">
        <v>18</v>
      </c>
      <c r="G52" s="202"/>
      <c r="H52" s="164"/>
      <c r="I52" s="38"/>
      <c r="J52" s="38"/>
      <c r="K52" s="185"/>
      <c r="L52" s="185"/>
      <c r="M52" s="47">
        <v>3</v>
      </c>
      <c r="N52" s="47">
        <f t="shared" si="0"/>
        <v>3</v>
      </c>
      <c r="O52" s="48" t="s">
        <v>21</v>
      </c>
      <c r="P52" s="49" cm="1">
        <f t="array" aca="1" ref="P52" ca="1">IF(F52&lt;&gt;"",SUMPRODUCT(MAX((INDIRECT(ADDRESS(1,COLUMN(K$1),2) &amp;":"&amp; ADDRESS(ROW(),COLUMN(K$1),4))&lt;&gt;"")*(ROW(INDIRECT(ADDRESS(1,COLUMN(K$1),2) &amp;":"&amp; ADDRESS(ROW(),COLUMN(K$1),4)))))),239)</f>
        <v>46</v>
      </c>
      <c r="Q52" s="50" t="str">
        <f t="shared" ca="1" si="1"/>
        <v/>
      </c>
      <c r="R52" s="50" t="str">
        <f t="shared" ca="1" si="2"/>
        <v/>
      </c>
      <c r="S52" s="50" t="str">
        <f t="shared" ca="1" si="3"/>
        <v/>
      </c>
      <c r="T52" s="51" t="str">
        <f t="shared" ca="1" si="30"/>
        <v/>
      </c>
      <c r="U52" s="51" t="str">
        <f t="shared" ca="1" si="31"/>
        <v/>
      </c>
      <c r="V52" s="50">
        <f t="shared" ca="1" si="6"/>
        <v>2</v>
      </c>
      <c r="W52" s="70" t="str">
        <f t="shared" ca="1" si="7"/>
        <v>Appoggio!$A$11:$A$13</v>
      </c>
      <c r="X52" s="52" t="s">
        <v>235</v>
      </c>
      <c r="Y52" s="117"/>
      <c r="Z52" s="110"/>
    </row>
    <row r="53" spans="1:26" ht="28">
      <c r="A53" s="179"/>
      <c r="B53" s="162" t="s">
        <v>58</v>
      </c>
      <c r="C53" s="163" t="s">
        <v>236</v>
      </c>
      <c r="D53" s="55" t="s">
        <v>18</v>
      </c>
      <c r="E53" s="76" t="s">
        <v>18</v>
      </c>
      <c r="F53" s="106" t="s">
        <v>18</v>
      </c>
      <c r="G53" s="165" t="str">
        <f>IF(L53&gt;0,"✔","")</f>
        <v>✔</v>
      </c>
      <c r="H53" s="164" t="s">
        <v>59</v>
      </c>
      <c r="I53" s="58" t="s">
        <v>60</v>
      </c>
      <c r="J53" s="58" t="s">
        <v>494</v>
      </c>
      <c r="K53" s="184">
        <v>2</v>
      </c>
      <c r="L53" s="184">
        <f>IF(COUNTA(F53:F59)&lt;&gt;0,K53,0)</f>
        <v>2</v>
      </c>
      <c r="M53" s="60">
        <v>3</v>
      </c>
      <c r="N53" s="60">
        <f t="shared" si="0"/>
        <v>3</v>
      </c>
      <c r="O53" s="61" t="s">
        <v>21</v>
      </c>
      <c r="P53" s="41" cm="1">
        <f t="array" aca="1" ref="P53" ca="1">IF(F53&lt;&gt;"",SUMPRODUCT(MAX((INDIRECT(ADDRESS(1,COLUMN(K$1),2) &amp;":"&amp; ADDRESS(ROW(),COLUMN(K$1),4))&lt;&gt;"")*(ROW(INDIRECT(ADDRESS(1,COLUMN(K$1),2) &amp;":"&amp; ADDRESS(ROW(),COLUMN(K$1),4)))))),239)</f>
        <v>53</v>
      </c>
      <c r="Q53" s="41" t="str">
        <f t="shared" ca="1" si="1"/>
        <v/>
      </c>
      <c r="R53" s="41" t="str">
        <f t="shared" ca="1" si="2"/>
        <v/>
      </c>
      <c r="S53" s="41" t="str">
        <f t="shared" ca="1" si="3"/>
        <v/>
      </c>
      <c r="T53" s="63" t="str">
        <f t="shared" ca="1" si="30"/>
        <v/>
      </c>
      <c r="U53" s="63" t="str">
        <f t="shared" ca="1" si="31"/>
        <v/>
      </c>
      <c r="V53" s="64">
        <f t="shared" ca="1" si="6"/>
        <v>2</v>
      </c>
      <c r="W53" s="43" t="str">
        <f t="shared" ca="1" si="7"/>
        <v>Appoggio!$A$11:$A$13</v>
      </c>
      <c r="X53" s="65" t="s">
        <v>237</v>
      </c>
      <c r="Y53" s="118"/>
      <c r="Z53" s="111"/>
    </row>
    <row r="54" spans="1:26" ht="14.25" customHeight="1">
      <c r="A54" s="179"/>
      <c r="B54" s="162"/>
      <c r="C54" s="163"/>
      <c r="D54" s="55" t="s">
        <v>18</v>
      </c>
      <c r="E54" s="76" t="s">
        <v>18</v>
      </c>
      <c r="F54" s="106" t="s">
        <v>18</v>
      </c>
      <c r="G54" s="165"/>
      <c r="H54" s="164"/>
      <c r="I54" s="66"/>
      <c r="J54" s="66"/>
      <c r="K54" s="184"/>
      <c r="L54" s="184"/>
      <c r="M54" s="39">
        <v>2</v>
      </c>
      <c r="N54" s="39">
        <f t="shared" si="0"/>
        <v>2</v>
      </c>
      <c r="O54" s="40" t="s">
        <v>21</v>
      </c>
      <c r="P54" s="41" cm="1">
        <f t="array" aca="1" ref="P54" ca="1">IF(F54&lt;&gt;"",SUMPRODUCT(MAX((INDIRECT(ADDRESS(1,COLUMN(K$1),2) &amp;":"&amp; ADDRESS(ROW(),COLUMN(K$1),4))&lt;&gt;"")*(ROW(INDIRECT(ADDRESS(1,COLUMN(K$1),2) &amp;":"&amp; ADDRESS(ROW(),COLUMN(K$1),4)))))),239)</f>
        <v>53</v>
      </c>
      <c r="Q54" s="41" t="str">
        <f t="shared" ca="1" si="1"/>
        <v/>
      </c>
      <c r="R54" s="41" t="str">
        <f t="shared" ca="1" si="2"/>
        <v/>
      </c>
      <c r="S54" s="41" t="str">
        <f t="shared" ca="1" si="3"/>
        <v/>
      </c>
      <c r="T54" s="42" t="str">
        <f t="shared" ca="1" si="30"/>
        <v/>
      </c>
      <c r="U54" s="42" t="str">
        <f t="shared" ca="1" si="31"/>
        <v/>
      </c>
      <c r="V54" s="41">
        <f t="shared" ca="1" si="6"/>
        <v>2</v>
      </c>
      <c r="W54" s="45" t="str">
        <f t="shared" ca="1" si="7"/>
        <v>Appoggio!$A$11:$A$13</v>
      </c>
      <c r="X54" s="46" t="s">
        <v>238</v>
      </c>
      <c r="Y54" s="116"/>
      <c r="Z54" s="109"/>
    </row>
    <row r="55" spans="1:26" ht="14.25" customHeight="1">
      <c r="A55" s="179"/>
      <c r="B55" s="162"/>
      <c r="C55" s="163"/>
      <c r="D55" s="55" t="s">
        <v>18</v>
      </c>
      <c r="E55" s="76" t="s">
        <v>18</v>
      </c>
      <c r="F55" s="106" t="s">
        <v>18</v>
      </c>
      <c r="G55" s="165"/>
      <c r="H55" s="164"/>
      <c r="I55" s="66"/>
      <c r="J55" s="66"/>
      <c r="K55" s="184"/>
      <c r="L55" s="184"/>
      <c r="M55" s="39">
        <v>2</v>
      </c>
      <c r="N55" s="39">
        <f t="shared" si="0"/>
        <v>2</v>
      </c>
      <c r="O55" s="40" t="s">
        <v>21</v>
      </c>
      <c r="P55" s="41" cm="1">
        <f t="array" aca="1" ref="P55" ca="1">IF(F55&lt;&gt;"",SUMPRODUCT(MAX((INDIRECT(ADDRESS(1,COLUMN(K$1),2) &amp;":"&amp; ADDRESS(ROW(),COLUMN(K$1),4))&lt;&gt;"")*(ROW(INDIRECT(ADDRESS(1,COLUMN(K$1),2) &amp;":"&amp; ADDRESS(ROW(),COLUMN(K$1),4)))))),239)</f>
        <v>53</v>
      </c>
      <c r="Q55" s="41" t="str">
        <f t="shared" ca="1" si="1"/>
        <v/>
      </c>
      <c r="R55" s="41" t="str">
        <f t="shared" ca="1" si="2"/>
        <v/>
      </c>
      <c r="S55" s="41" t="str">
        <f t="shared" ca="1" si="3"/>
        <v/>
      </c>
      <c r="T55" s="42" t="str">
        <f t="shared" ca="1" si="30"/>
        <v/>
      </c>
      <c r="U55" s="42" t="str">
        <f t="shared" ca="1" si="31"/>
        <v/>
      </c>
      <c r="V55" s="41">
        <f t="shared" ca="1" si="6"/>
        <v>2</v>
      </c>
      <c r="W55" s="45" t="str">
        <f t="shared" ca="1" si="7"/>
        <v>Appoggio!$A$11:$A$13</v>
      </c>
      <c r="X55" s="46" t="s">
        <v>239</v>
      </c>
      <c r="Y55" s="116"/>
      <c r="Z55" s="109"/>
    </row>
    <row r="56" spans="1:26" ht="14.25" customHeight="1">
      <c r="A56" s="179"/>
      <c r="B56" s="162"/>
      <c r="C56" s="163"/>
      <c r="D56" s="55" t="s">
        <v>18</v>
      </c>
      <c r="E56" s="76" t="s">
        <v>18</v>
      </c>
      <c r="F56" s="106" t="s">
        <v>18</v>
      </c>
      <c r="G56" s="165"/>
      <c r="H56" s="164"/>
      <c r="I56" s="66"/>
      <c r="J56" s="66"/>
      <c r="K56" s="184"/>
      <c r="L56" s="184"/>
      <c r="M56" s="39">
        <v>2</v>
      </c>
      <c r="N56" s="39">
        <f t="shared" si="0"/>
        <v>2</v>
      </c>
      <c r="O56" s="40" t="s">
        <v>21</v>
      </c>
      <c r="P56" s="41" cm="1">
        <f t="array" aca="1" ref="P56" ca="1">IF(F56&lt;&gt;"",SUMPRODUCT(MAX((INDIRECT(ADDRESS(1,COLUMN(K$1),2) &amp;":"&amp; ADDRESS(ROW(),COLUMN(K$1),4))&lt;&gt;"")*(ROW(INDIRECT(ADDRESS(1,COLUMN(K$1),2) &amp;":"&amp; ADDRESS(ROW(),COLUMN(K$1),4)))))),239)</f>
        <v>53</v>
      </c>
      <c r="Q56" s="41" t="str">
        <f t="shared" ca="1" si="1"/>
        <v/>
      </c>
      <c r="R56" s="41" t="str">
        <f t="shared" ca="1" si="2"/>
        <v/>
      </c>
      <c r="S56" s="41" t="str">
        <f t="shared" ca="1" si="3"/>
        <v/>
      </c>
      <c r="T56" s="42" t="str">
        <f t="shared" ca="1" si="30"/>
        <v/>
      </c>
      <c r="U56" s="42" t="str">
        <f t="shared" ca="1" si="31"/>
        <v/>
      </c>
      <c r="V56" s="41">
        <f t="shared" ca="1" si="6"/>
        <v>2</v>
      </c>
      <c r="W56" s="45" t="str">
        <f t="shared" ca="1" si="7"/>
        <v>Appoggio!$A$11:$A$13</v>
      </c>
      <c r="X56" s="46" t="s">
        <v>240</v>
      </c>
      <c r="Y56" s="116"/>
      <c r="Z56" s="109"/>
    </row>
    <row r="57" spans="1:26" ht="14.25" customHeight="1">
      <c r="A57" s="179"/>
      <c r="B57" s="162"/>
      <c r="C57" s="163"/>
      <c r="D57" s="55" t="s">
        <v>18</v>
      </c>
      <c r="E57" s="76" t="s">
        <v>18</v>
      </c>
      <c r="F57" s="106" t="s">
        <v>18</v>
      </c>
      <c r="G57" s="165"/>
      <c r="H57" s="164"/>
      <c r="I57" s="66"/>
      <c r="J57" s="66"/>
      <c r="K57" s="184"/>
      <c r="L57" s="184"/>
      <c r="M57" s="39">
        <v>2</v>
      </c>
      <c r="N57" s="39">
        <f t="shared" ref="N57:N59" si="32">IF(F57&lt;&gt;"",M57,0)</f>
        <v>2</v>
      </c>
      <c r="O57" s="39" t="s">
        <v>21</v>
      </c>
      <c r="P57" s="41" cm="1">
        <f t="array" aca="1" ref="P57" ca="1">IF(F57&lt;&gt;"",SUMPRODUCT(MAX((INDIRECT(ADDRESS(1,COLUMN(K$1),2) &amp;":"&amp; ADDRESS(ROW(),COLUMN(K$1),4))&lt;&gt;"")*(ROW(INDIRECT(ADDRESS(1,COLUMN(K$1),2) &amp;":"&amp; ADDRESS(ROW(),COLUMN(K$1),4)))))),239)</f>
        <v>53</v>
      </c>
      <c r="Q57" s="41" t="str">
        <f t="shared" ref="Q57" ca="1" si="33">IF(Y57&lt;&gt;"",VLOOKUP(Y57,INDIRECT(O57),2,0),"")</f>
        <v/>
      </c>
      <c r="R57" s="41" t="str">
        <f t="shared" ref="R57" ca="1" si="34">IF(Q57&lt;&gt;"",IF(F57&lt;&gt;"",Q57*M57,0),"")</f>
        <v/>
      </c>
      <c r="S57" s="41" t="str">
        <f t="shared" ref="S57" ca="1" si="35">IF(R57&lt;&gt;"",IF(R57&lt;&gt;0,R57*INDIRECT(ADDRESS(P57,COLUMN(K$1),4,)),0),"")</f>
        <v/>
      </c>
      <c r="T57" s="62" t="str">
        <f t="shared" ca="1" si="30"/>
        <v/>
      </c>
      <c r="U57" s="62" t="str">
        <f t="shared" ca="1" si="31"/>
        <v/>
      </c>
      <c r="V57" s="41">
        <f t="shared" ca="1" si="6"/>
        <v>2</v>
      </c>
      <c r="W57" s="45" t="str">
        <f t="shared" ref="W57" ca="1" si="36">ADDRESS(ROW(INDIRECT(O57)),COLUMN(INDIRECT(O57)),1,1,"Appoggio")&amp;":"&amp;ADDRESS(ROW(INDIRECT(O57))+ROWS(INDIRECT(O57))-1,COLUMN(INDIRECT(O57)),1,1)</f>
        <v>Appoggio!$A$11:$A$13</v>
      </c>
      <c r="X57" s="145" t="s">
        <v>241</v>
      </c>
      <c r="Y57" s="117"/>
      <c r="Z57" s="110"/>
    </row>
    <row r="58" spans="1:26" ht="14.25" customHeight="1">
      <c r="A58" s="179"/>
      <c r="B58" s="162"/>
      <c r="C58" s="163"/>
      <c r="D58" s="55"/>
      <c r="E58" s="76" t="s">
        <v>18</v>
      </c>
      <c r="F58" s="106" t="s">
        <v>18</v>
      </c>
      <c r="G58" s="165"/>
      <c r="H58" s="164"/>
      <c r="I58" s="66"/>
      <c r="J58" s="66"/>
      <c r="K58" s="184"/>
      <c r="L58" s="184"/>
      <c r="M58" s="127">
        <v>1</v>
      </c>
      <c r="N58" s="39">
        <f t="shared" si="32"/>
        <v>1</v>
      </c>
      <c r="O58" s="127" t="s">
        <v>21</v>
      </c>
      <c r="P58" s="41" cm="1">
        <f t="array" aca="1" ref="P58" ca="1">IF(F58&lt;&gt;"",SUMPRODUCT(MAX((INDIRECT(ADDRESS(1,COLUMN(K$1),2) &amp;":"&amp; ADDRESS(ROW(),COLUMN(K$1),4))&lt;&gt;"")*(ROW(INDIRECT(ADDRESS(1,COLUMN(K$1),2) &amp;":"&amp; ADDRESS(ROW(),COLUMN(K$1),4)))))),239)</f>
        <v>53</v>
      </c>
      <c r="Q58" s="41" t="str">
        <f t="shared" ref="Q58" ca="1" si="37">IF(Y58&lt;&gt;"",VLOOKUP(Y58,INDIRECT(O58),2,0),"")</f>
        <v/>
      </c>
      <c r="R58" s="41" t="str">
        <f t="shared" ref="R58" ca="1" si="38">IF(Q58&lt;&gt;"",IF(F58&lt;&gt;"",Q58*M58,0),"")</f>
        <v/>
      </c>
      <c r="S58" s="41" t="str">
        <f t="shared" ref="S58" ca="1" si="39">IF(R58&lt;&gt;"",IF(R58&lt;&gt;0,R58*INDIRECT(ADDRESS(P58,COLUMN(K$1),4,)),0),"")</f>
        <v/>
      </c>
      <c r="T58" s="62" t="str">
        <f t="shared" ref="T58" ca="1" si="40">IF(R58&lt;&gt;"",R58/SUMIFS(M$3:M$253,P$3:P$253,P58),"")</f>
        <v/>
      </c>
      <c r="U58" s="62" t="str">
        <f t="shared" ref="U58" ca="1" si="41">IF(R58&lt;&gt;"",SUMIFS(T$3:T$253,P$3:P$253,P58),"")</f>
        <v/>
      </c>
      <c r="V58" s="41">
        <f t="shared" ref="V58" ca="1" si="42">IFERROR(INDEX(K:K,P58),0)</f>
        <v>2</v>
      </c>
      <c r="W58" s="45" t="str">
        <f t="shared" ref="W58" ca="1" si="43">ADDRESS(ROW(INDIRECT(O58)),COLUMN(INDIRECT(O58)),1,1,"Appoggio")&amp;":"&amp;ADDRESS(ROW(INDIRECT(O58))+ROWS(INDIRECT(O58))-1,COLUMN(INDIRECT(O58)),1,1)</f>
        <v>Appoggio!$A$11:$A$13</v>
      </c>
      <c r="X58" s="146" t="s">
        <v>544</v>
      </c>
      <c r="Y58" s="117"/>
      <c r="Z58" s="110"/>
    </row>
    <row r="59" spans="1:26" ht="28">
      <c r="A59" s="179"/>
      <c r="B59" s="162"/>
      <c r="C59" s="163"/>
      <c r="D59" s="55" t="s">
        <v>18</v>
      </c>
      <c r="E59" s="76" t="s">
        <v>18</v>
      </c>
      <c r="F59" s="106" t="s">
        <v>18</v>
      </c>
      <c r="G59" s="165"/>
      <c r="H59" s="164"/>
      <c r="I59" s="135" t="s">
        <v>538</v>
      </c>
      <c r="J59" s="135" t="s">
        <v>536</v>
      </c>
      <c r="K59" s="184"/>
      <c r="L59" s="184"/>
      <c r="M59" s="142">
        <v>3</v>
      </c>
      <c r="N59" s="39">
        <f t="shared" si="32"/>
        <v>3</v>
      </c>
      <c r="O59" s="143" t="s">
        <v>21</v>
      </c>
      <c r="P59" s="49" cm="1">
        <f t="array" aca="1" ref="P59" ca="1">IF(F59&lt;&gt;"",SUMPRODUCT(MAX((INDIRECT(ADDRESS(1,COLUMN(K$1),2) &amp;":"&amp; ADDRESS(ROW(),COLUMN(K$1),4))&lt;&gt;"")*(ROW(INDIRECT(ADDRESS(1,COLUMN(K$1),2) &amp;":"&amp; ADDRESS(ROW(),COLUMN(K$1),4)))))),239)</f>
        <v>53</v>
      </c>
      <c r="Q59" s="50" t="str">
        <f t="shared" ca="1" si="1"/>
        <v/>
      </c>
      <c r="R59" s="50" t="str">
        <f t="shared" ca="1" si="2"/>
        <v/>
      </c>
      <c r="S59" s="50" t="str">
        <f t="shared" ca="1" si="3"/>
        <v/>
      </c>
      <c r="T59" s="51" t="str">
        <f ca="1">IF(R59&lt;&gt;"",R59/SUMIFS(M$3:M$253,P$3:P$253,P59),"")</f>
        <v/>
      </c>
      <c r="U59" s="51" t="str">
        <f ca="1">IF(R59&lt;&gt;"",SUMIFS(T$3:T$253,P$3:P$253,P59),"")</f>
        <v/>
      </c>
      <c r="V59" s="50">
        <f t="shared" ca="1" si="6"/>
        <v>2</v>
      </c>
      <c r="W59" s="70" t="str">
        <f t="shared" ca="1" si="7"/>
        <v>Appoggio!$A$11:$A$13</v>
      </c>
      <c r="X59" s="134" t="s">
        <v>537</v>
      </c>
      <c r="Y59" s="117"/>
      <c r="Z59" s="110"/>
    </row>
    <row r="60" spans="1:26" ht="14.25" customHeight="1">
      <c r="A60" s="179"/>
      <c r="B60" s="162" t="s">
        <v>61</v>
      </c>
      <c r="C60" s="163" t="s">
        <v>242</v>
      </c>
      <c r="D60" s="55" t="s">
        <v>18</v>
      </c>
      <c r="E60" s="76" t="s">
        <v>18</v>
      </c>
      <c r="F60" s="106" t="s">
        <v>18</v>
      </c>
      <c r="G60" s="165" t="str">
        <f>IF(L60&gt;0,"✔","")</f>
        <v>✔</v>
      </c>
      <c r="H60" s="164" t="s">
        <v>62</v>
      </c>
      <c r="I60" s="154" t="s">
        <v>63</v>
      </c>
      <c r="J60" s="154" t="s">
        <v>495</v>
      </c>
      <c r="K60" s="184">
        <v>2</v>
      </c>
      <c r="L60" s="184">
        <f>IF(COUNTA(F60:F65)&lt;&gt;0,K60,0)</f>
        <v>2</v>
      </c>
      <c r="M60" s="60">
        <v>3</v>
      </c>
      <c r="N60" s="60">
        <f t="shared" si="0"/>
        <v>3</v>
      </c>
      <c r="O60" s="61" t="s">
        <v>21</v>
      </c>
      <c r="P60" s="41" cm="1">
        <f t="array" aca="1" ref="P60" ca="1">IF(F60&lt;&gt;"",SUMPRODUCT(MAX((INDIRECT(ADDRESS(1,COLUMN(K$1),2) &amp;":"&amp; ADDRESS(ROW(),COLUMN(K$1),4))&lt;&gt;"")*(ROW(INDIRECT(ADDRESS(1,COLUMN(K$1),2) &amp;":"&amp; ADDRESS(ROW(),COLUMN(K$1),4)))))),239)</f>
        <v>60</v>
      </c>
      <c r="Q60" s="41" t="str">
        <f t="shared" ca="1" si="1"/>
        <v/>
      </c>
      <c r="R60" s="41" t="str">
        <f t="shared" ca="1" si="2"/>
        <v/>
      </c>
      <c r="S60" s="41" t="str">
        <f t="shared" ca="1" si="3"/>
        <v/>
      </c>
      <c r="T60" s="63" t="str">
        <f ca="1">IF(R60&lt;&gt;"",R60/SUMIFS(M$3:M$253,P$3:P$253,P60),"")</f>
        <v/>
      </c>
      <c r="U60" s="63" t="str">
        <f ca="1">IF(R60&lt;&gt;"",SUMIFS(T$3:T$253,P$3:P$253,P60),"")</f>
        <v/>
      </c>
      <c r="V60" s="64">
        <f t="shared" ca="1" si="6"/>
        <v>2</v>
      </c>
      <c r="W60" s="43" t="str">
        <f t="shared" ca="1" si="7"/>
        <v>Appoggio!$A$11:$A$13</v>
      </c>
      <c r="X60" s="65" t="s">
        <v>243</v>
      </c>
      <c r="Y60" s="118"/>
      <c r="Z60" s="119"/>
    </row>
    <row r="61" spans="1:26" ht="14.25" customHeight="1">
      <c r="A61" s="179"/>
      <c r="B61" s="162"/>
      <c r="C61" s="163"/>
      <c r="D61" s="55" t="s">
        <v>18</v>
      </c>
      <c r="E61" s="76" t="s">
        <v>18</v>
      </c>
      <c r="F61" s="106" t="s">
        <v>18</v>
      </c>
      <c r="G61" s="165"/>
      <c r="H61" s="164"/>
      <c r="I61" s="154"/>
      <c r="J61" s="154"/>
      <c r="K61" s="184"/>
      <c r="L61" s="184"/>
      <c r="M61" s="39">
        <v>3</v>
      </c>
      <c r="N61" s="39">
        <f t="shared" si="0"/>
        <v>3</v>
      </c>
      <c r="O61" s="40" t="s">
        <v>21</v>
      </c>
      <c r="P61" s="41" cm="1">
        <f t="array" aca="1" ref="P61" ca="1">IF(F61&lt;&gt;"",SUMPRODUCT(MAX((INDIRECT(ADDRESS(1,COLUMN(K$1),2) &amp;":"&amp; ADDRESS(ROW(),COLUMN(K$1),4))&lt;&gt;"")*(ROW(INDIRECT(ADDRESS(1,COLUMN(K$1),2) &amp;":"&amp; ADDRESS(ROW(),COLUMN(K$1),4)))))),239)</f>
        <v>60</v>
      </c>
      <c r="Q61" s="41" t="str">
        <f t="shared" ca="1" si="1"/>
        <v/>
      </c>
      <c r="R61" s="41" t="str">
        <f t="shared" ca="1" si="2"/>
        <v/>
      </c>
      <c r="S61" s="41" t="str">
        <f t="shared" ca="1" si="3"/>
        <v/>
      </c>
      <c r="T61" s="42" t="str">
        <f ca="1">IF(R61&lt;&gt;"",R61/SUMIFS(M$3:M$253,P$3:P$253,P61),"")</f>
        <v/>
      </c>
      <c r="U61" s="42" t="str">
        <f ca="1">IF(R61&lt;&gt;"",SUMIFS(T$3:T$253,P$3:P$253,P61),"")</f>
        <v/>
      </c>
      <c r="V61" s="41">
        <f t="shared" ca="1" si="6"/>
        <v>2</v>
      </c>
      <c r="W61" s="45" t="str">
        <f t="shared" ca="1" si="7"/>
        <v>Appoggio!$A$11:$A$13</v>
      </c>
      <c r="X61" s="46" t="s">
        <v>246</v>
      </c>
      <c r="Y61" s="116"/>
      <c r="Z61" s="120"/>
    </row>
    <row r="62" spans="1:26" ht="14.25" customHeight="1">
      <c r="A62" s="179"/>
      <c r="B62" s="162"/>
      <c r="C62" s="163"/>
      <c r="D62" s="55" t="s">
        <v>18</v>
      </c>
      <c r="E62" s="76" t="s">
        <v>18</v>
      </c>
      <c r="F62" s="106" t="s">
        <v>18</v>
      </c>
      <c r="G62" s="165"/>
      <c r="H62" s="164"/>
      <c r="I62" s="154"/>
      <c r="J62" s="154"/>
      <c r="K62" s="184"/>
      <c r="L62" s="184"/>
      <c r="M62" s="39">
        <v>1</v>
      </c>
      <c r="N62" s="39">
        <f t="shared" si="0"/>
        <v>1</v>
      </c>
      <c r="O62" s="40" t="s">
        <v>21</v>
      </c>
      <c r="P62" s="41" cm="1">
        <f t="array" aca="1" ref="P62" ca="1">IF(F62&lt;&gt;"",SUMPRODUCT(MAX((INDIRECT(ADDRESS(1,COLUMN(K$1),2) &amp;":"&amp; ADDRESS(ROW(),COLUMN(K$1),4))&lt;&gt;"")*(ROW(INDIRECT(ADDRESS(1,COLUMN(K$1),2) &amp;":"&amp; ADDRESS(ROW(),COLUMN(K$1),4)))))),239)</f>
        <v>60</v>
      </c>
      <c r="Q62" s="41" t="str">
        <f t="shared" ca="1" si="1"/>
        <v/>
      </c>
      <c r="R62" s="41" t="str">
        <f t="shared" ca="1" si="2"/>
        <v/>
      </c>
      <c r="S62" s="41" t="str">
        <f t="shared" ca="1" si="3"/>
        <v/>
      </c>
      <c r="T62" s="42" t="str">
        <f ca="1">IF(R62&lt;&gt;"",R62/SUMIFS(M$3:M$253,P$3:P$253,P62),"")</f>
        <v/>
      </c>
      <c r="U62" s="42" t="str">
        <f ca="1">IF(R62&lt;&gt;"",SUMIFS(T$3:T$253,P$3:P$253,P62),"")</f>
        <v/>
      </c>
      <c r="V62" s="41">
        <f t="shared" ca="1" si="6"/>
        <v>2</v>
      </c>
      <c r="W62" s="45" t="str">
        <f t="shared" ca="1" si="7"/>
        <v>Appoggio!$A$11:$A$13</v>
      </c>
      <c r="X62" s="46" t="s">
        <v>244</v>
      </c>
      <c r="Y62" s="116"/>
      <c r="Z62" s="120"/>
    </row>
    <row r="63" spans="1:26" s="131" customFormat="1" ht="14.25" customHeight="1">
      <c r="A63" s="179"/>
      <c r="B63" s="162"/>
      <c r="C63" s="163"/>
      <c r="D63" s="55" t="s">
        <v>18</v>
      </c>
      <c r="E63" s="76" t="s">
        <v>18</v>
      </c>
      <c r="F63" s="106" t="s">
        <v>18</v>
      </c>
      <c r="G63" s="165"/>
      <c r="H63" s="164"/>
      <c r="I63" s="126" t="s">
        <v>541</v>
      </c>
      <c r="J63" s="126" t="s">
        <v>536</v>
      </c>
      <c r="K63" s="184"/>
      <c r="L63" s="184"/>
      <c r="M63" s="127">
        <v>2</v>
      </c>
      <c r="N63" s="39">
        <f t="shared" si="0"/>
        <v>2</v>
      </c>
      <c r="O63" s="128" t="s">
        <v>21</v>
      </c>
      <c r="P63" s="41" cm="1">
        <f t="array" aca="1" ref="P63" ca="1">IF(F63&lt;&gt;"",SUMPRODUCT(MAX((INDIRECT(ADDRESS(1,COLUMN(K$1),2) &amp;":"&amp; ADDRESS(ROW(),COLUMN(K$1),4))&lt;&gt;"")*(ROW(INDIRECT(ADDRESS(1,COLUMN(K$1),2) &amp;":"&amp; ADDRESS(ROW(),COLUMN(K$1),4)))))),239)</f>
        <v>60</v>
      </c>
      <c r="Q63" s="41" t="str">
        <f t="shared" ref="Q63" ca="1" si="44">IF(Y63&lt;&gt;"",VLOOKUP(Y63,INDIRECT(O63),2,0),"")</f>
        <v/>
      </c>
      <c r="R63" s="41" t="str">
        <f t="shared" ref="R63" ca="1" si="45">IF(Q63&lt;&gt;"",IF(F63&lt;&gt;"",Q63*M63,0),"")</f>
        <v/>
      </c>
      <c r="S63" s="41" t="str">
        <f t="shared" ref="S63" ca="1" si="46">IF(R63&lt;&gt;"",IF(R63&lt;&gt;0,R63*INDIRECT(ADDRESS(P63,COLUMN(K$1),4,)),0),"")</f>
        <v/>
      </c>
      <c r="T63" s="42" t="str">
        <f ca="1">IF(R63&lt;&gt;"",R63/SUMIFS(M$3:M$253,P$3:P$253,P63),"")</f>
        <v/>
      </c>
      <c r="U63" s="42" t="str">
        <f ca="1">IF(R63&lt;&gt;"",SUMIFS(T$3:T$253,P$3:P$253,P63),"")</f>
        <v/>
      </c>
      <c r="V63" s="41">
        <f t="shared" ref="V63" ca="1" si="47">IFERROR(INDEX(K:K,P63),0)</f>
        <v>2</v>
      </c>
      <c r="W63" s="45" t="str">
        <f t="shared" ref="W63" ca="1" si="48">ADDRESS(ROW(INDIRECT(O63)),COLUMN(INDIRECT(O63)),1,1,"Appoggio")&amp;":"&amp;ADDRESS(ROW(INDIRECT(O63))+ROWS(INDIRECT(O63))-1,COLUMN(INDIRECT(O63)),1,1)</f>
        <v>Appoggio!$A$11:$A$13</v>
      </c>
      <c r="X63" s="132" t="s">
        <v>535</v>
      </c>
      <c r="Y63" s="129"/>
      <c r="Z63" s="130"/>
    </row>
    <row r="64" spans="1:26" ht="56">
      <c r="A64" s="179"/>
      <c r="B64" s="162"/>
      <c r="C64" s="163"/>
      <c r="D64" s="55" t="s">
        <v>18</v>
      </c>
      <c r="E64" s="76" t="s">
        <v>18</v>
      </c>
      <c r="F64" s="106" t="s">
        <v>18</v>
      </c>
      <c r="G64" s="165"/>
      <c r="H64" s="164"/>
      <c r="I64" s="75" t="s">
        <v>65</v>
      </c>
      <c r="J64" s="75" t="s">
        <v>530</v>
      </c>
      <c r="K64" s="184"/>
      <c r="L64" s="184"/>
      <c r="M64" s="39">
        <v>3</v>
      </c>
      <c r="N64" s="39">
        <f t="shared" si="0"/>
        <v>3</v>
      </c>
      <c r="O64" s="40" t="s">
        <v>21</v>
      </c>
      <c r="P64" s="41" cm="1">
        <f t="array" aca="1" ref="P64" ca="1">IF(F64&lt;&gt;"",SUMPRODUCT(MAX((INDIRECT(ADDRESS(1,COLUMN(K$1),2) &amp;":"&amp; ADDRESS(ROW(),COLUMN(K$1),4))&lt;&gt;"")*(ROW(INDIRECT(ADDRESS(1,COLUMN(K$1),2) &amp;":"&amp; ADDRESS(ROW(),COLUMN(K$1),4)))))),239)</f>
        <v>60</v>
      </c>
      <c r="Q64" s="41" t="str">
        <f t="shared" ca="1" si="1"/>
        <v/>
      </c>
      <c r="R64" s="41" t="str">
        <f t="shared" ca="1" si="2"/>
        <v/>
      </c>
      <c r="S64" s="41" t="str">
        <f t="shared" ca="1" si="3"/>
        <v/>
      </c>
      <c r="T64" s="42" t="str">
        <f t="shared" ref="T64:T73" ca="1" si="49">IF(R64&lt;&gt;"",R64/SUMIFS(M$3:M$253,P$3:P$253,P64),"")</f>
        <v/>
      </c>
      <c r="U64" s="42" t="str">
        <f t="shared" ref="U64:U73" ca="1" si="50">IF(R64&lt;&gt;"",SUMIFS(T$3:T$253,P$3:P$253,P64),"")</f>
        <v/>
      </c>
      <c r="V64" s="41">
        <f t="shared" ca="1" si="6"/>
        <v>2</v>
      </c>
      <c r="W64" s="45" t="str">
        <f t="shared" ca="1" si="7"/>
        <v>Appoggio!$A$11:$A$13</v>
      </c>
      <c r="X64" s="44" t="s">
        <v>247</v>
      </c>
      <c r="Y64" s="116"/>
      <c r="Z64" s="120"/>
    </row>
    <row r="65" spans="1:26" ht="70">
      <c r="A65" s="179"/>
      <c r="B65" s="162"/>
      <c r="C65" s="163"/>
      <c r="D65" s="55" t="s">
        <v>18</v>
      </c>
      <c r="E65" s="76" t="s">
        <v>18</v>
      </c>
      <c r="F65" s="106" t="s">
        <v>18</v>
      </c>
      <c r="G65" s="165"/>
      <c r="H65" s="164"/>
      <c r="I65" s="74" t="s">
        <v>64</v>
      </c>
      <c r="J65" s="74" t="s">
        <v>531</v>
      </c>
      <c r="K65" s="184"/>
      <c r="L65" s="184"/>
      <c r="M65" s="47">
        <v>3</v>
      </c>
      <c r="N65" s="47">
        <f t="shared" si="0"/>
        <v>3</v>
      </c>
      <c r="O65" s="48" t="s">
        <v>21</v>
      </c>
      <c r="P65" s="49" cm="1">
        <f t="array" aca="1" ref="P65" ca="1">IF(F65&lt;&gt;"",SUMPRODUCT(MAX((INDIRECT(ADDRESS(1,COLUMN(K$1),2) &amp;":"&amp; ADDRESS(ROW(),COLUMN(K$1),4))&lt;&gt;"")*(ROW(INDIRECT(ADDRESS(1,COLUMN(K$1),2) &amp;":"&amp; ADDRESS(ROW(),COLUMN(K$1),4)))))),239)</f>
        <v>60</v>
      </c>
      <c r="Q65" s="50" t="str">
        <f t="shared" ref="Q65" ca="1" si="51">IF(Y65&lt;&gt;"",VLOOKUP(Y65,INDIRECT(O65),2,0),"")</f>
        <v/>
      </c>
      <c r="R65" s="50" t="str">
        <f t="shared" ca="1" si="2"/>
        <v/>
      </c>
      <c r="S65" s="50" t="str">
        <f t="shared" ca="1" si="3"/>
        <v/>
      </c>
      <c r="T65" s="51" t="str">
        <f t="shared" ca="1" si="49"/>
        <v/>
      </c>
      <c r="U65" s="51" t="str">
        <f t="shared" ca="1" si="50"/>
        <v/>
      </c>
      <c r="V65" s="50">
        <f t="shared" ca="1" si="6"/>
        <v>2</v>
      </c>
      <c r="W65" s="77" t="str">
        <f t="shared" ca="1" si="7"/>
        <v>Appoggio!$A$11:$A$13</v>
      </c>
      <c r="X65" s="78" t="s">
        <v>245</v>
      </c>
      <c r="Y65" s="117"/>
      <c r="Z65" s="121"/>
    </row>
    <row r="66" spans="1:26" ht="13.5" customHeight="1">
      <c r="A66" s="179"/>
      <c r="B66" s="162" t="s">
        <v>66</v>
      </c>
      <c r="C66" s="163" t="s">
        <v>248</v>
      </c>
      <c r="D66" s="55" t="s">
        <v>18</v>
      </c>
      <c r="E66" s="67"/>
      <c r="F66" s="106" t="s">
        <v>18</v>
      </c>
      <c r="G66" s="165" t="str">
        <f>IF(L66&gt;0,"✔","")</f>
        <v>✔</v>
      </c>
      <c r="H66" s="162" t="s">
        <v>67</v>
      </c>
      <c r="I66" s="71" t="s">
        <v>68</v>
      </c>
      <c r="J66" s="156" t="s">
        <v>496</v>
      </c>
      <c r="K66" s="184">
        <v>1</v>
      </c>
      <c r="L66" s="184">
        <f>IF(COUNTA(F66:F69)&lt;&gt;0,K66,0)</f>
        <v>1</v>
      </c>
      <c r="M66" s="39">
        <v>2</v>
      </c>
      <c r="N66" s="39">
        <f t="shared" si="0"/>
        <v>2</v>
      </c>
      <c r="O66" s="40" t="s">
        <v>21</v>
      </c>
      <c r="P66" s="41" cm="1">
        <f t="array" aca="1" ref="P66" ca="1">IF(F66&lt;&gt;"",SUMPRODUCT(MAX((INDIRECT(ADDRESS(1,COLUMN(K$1),2) &amp;":"&amp; ADDRESS(ROW(),COLUMN(K$1),4))&lt;&gt;"")*(ROW(INDIRECT(ADDRESS(1,COLUMN(K$1),2) &amp;":"&amp; ADDRESS(ROW(),COLUMN(K$1),4)))))),239)</f>
        <v>66</v>
      </c>
      <c r="Q66" s="41" t="str">
        <f ca="1">IF(Y66&lt;&gt;"",VLOOKUP(Y66,INDIRECT(O66),2,0),"")</f>
        <v/>
      </c>
      <c r="R66" s="41" t="str">
        <f t="shared" ca="1" si="2"/>
        <v/>
      </c>
      <c r="S66" s="41" t="str">
        <f t="shared" ca="1" si="3"/>
        <v/>
      </c>
      <c r="T66" s="42" t="str">
        <f t="shared" ca="1" si="49"/>
        <v/>
      </c>
      <c r="U66" s="42" t="str">
        <f t="shared" ca="1" si="50"/>
        <v/>
      </c>
      <c r="V66" s="41">
        <f t="shared" ca="1" si="6"/>
        <v>1</v>
      </c>
      <c r="W66" s="45" t="str">
        <f t="shared" ref="W66:W121" ca="1" si="52">ADDRESS(ROW(INDIRECT(O66)),COLUMN(INDIRECT(O66)),1,1,"Appoggio")&amp;":"&amp;ADDRESS(ROW(INDIRECT(O66))+ROWS(INDIRECT(O66))-1,COLUMN(INDIRECT(O66)),1,1)</f>
        <v>Appoggio!$A$11:$A$13</v>
      </c>
      <c r="X66" s="79" t="s">
        <v>249</v>
      </c>
      <c r="Y66" s="118"/>
      <c r="Z66" s="112"/>
    </row>
    <row r="67" spans="1:26" ht="14.25" customHeight="1">
      <c r="A67" s="179"/>
      <c r="B67" s="162"/>
      <c r="C67" s="163"/>
      <c r="D67" s="55" t="s">
        <v>18</v>
      </c>
      <c r="E67" s="67"/>
      <c r="F67" s="106" t="s">
        <v>18</v>
      </c>
      <c r="G67" s="165"/>
      <c r="H67" s="162"/>
      <c r="I67" s="66" t="s">
        <v>69</v>
      </c>
      <c r="J67" s="157"/>
      <c r="K67" s="184"/>
      <c r="L67" s="184"/>
      <c r="M67" s="39">
        <v>3</v>
      </c>
      <c r="N67" s="39">
        <f t="shared" si="0"/>
        <v>3</v>
      </c>
      <c r="O67" s="40" t="s">
        <v>21</v>
      </c>
      <c r="P67" s="41" cm="1">
        <f t="array" aca="1" ref="P67" ca="1">IF(F67&lt;&gt;"",SUMPRODUCT(MAX((INDIRECT(ADDRESS(1,COLUMN(K$1),2) &amp;":"&amp; ADDRESS(ROW(),COLUMN(K$1),4))&lt;&gt;"")*(ROW(INDIRECT(ADDRESS(1,COLUMN(K$1),2) &amp;":"&amp; ADDRESS(ROW(),COLUMN(K$1),4)))))),239)</f>
        <v>66</v>
      </c>
      <c r="Q67" s="41" t="str">
        <f ca="1">IF(Y67&lt;&gt;"",VLOOKUP(Y67,INDIRECT(O67),2,0),"")</f>
        <v/>
      </c>
      <c r="R67" s="41" t="str">
        <f t="shared" ca="1" si="2"/>
        <v/>
      </c>
      <c r="S67" s="41" t="str">
        <f t="shared" ca="1" si="3"/>
        <v/>
      </c>
      <c r="T67" s="42" t="str">
        <f t="shared" ca="1" si="49"/>
        <v/>
      </c>
      <c r="U67" s="42" t="str">
        <f t="shared" ca="1" si="50"/>
        <v/>
      </c>
      <c r="V67" s="41">
        <f t="shared" ref="V67:V130" ca="1" si="53">IFERROR(INDEX(K:K,P67),0)</f>
        <v>1</v>
      </c>
      <c r="W67" s="45" t="str">
        <f t="shared" ca="1" si="52"/>
        <v>Appoggio!$A$11:$A$13</v>
      </c>
      <c r="X67" s="46" t="s">
        <v>250</v>
      </c>
      <c r="Y67" s="116"/>
      <c r="Z67" s="109"/>
    </row>
    <row r="68" spans="1:26" ht="14.25" customHeight="1">
      <c r="A68" s="179"/>
      <c r="B68" s="162"/>
      <c r="C68" s="163"/>
      <c r="D68" s="55" t="s">
        <v>18</v>
      </c>
      <c r="E68" s="67"/>
      <c r="F68" s="106" t="s">
        <v>18</v>
      </c>
      <c r="G68" s="165"/>
      <c r="H68" s="162"/>
      <c r="I68" s="66"/>
      <c r="J68" s="66"/>
      <c r="K68" s="184"/>
      <c r="L68" s="184"/>
      <c r="M68" s="39">
        <v>2</v>
      </c>
      <c r="N68" s="39">
        <f t="shared" si="0"/>
        <v>2</v>
      </c>
      <c r="O68" s="40" t="s">
        <v>21</v>
      </c>
      <c r="P68" s="41" cm="1">
        <f t="array" aca="1" ref="P68" ca="1">IF(F68&lt;&gt;"",SUMPRODUCT(MAX((INDIRECT(ADDRESS(1,COLUMN(K$1),2) &amp;":"&amp; ADDRESS(ROW(),COLUMN(K$1),4))&lt;&gt;"")*(ROW(INDIRECT(ADDRESS(1,COLUMN(K$1),2) &amp;":"&amp; ADDRESS(ROW(),COLUMN(K$1),4)))))),239)</f>
        <v>66</v>
      </c>
      <c r="Q68" s="41" t="str">
        <f ca="1">IF(Y68&lt;&gt;"",VLOOKUP(Y68,INDIRECT(O68),2,0),"")</f>
        <v/>
      </c>
      <c r="R68" s="41" t="str">
        <f t="shared" ca="1" si="2"/>
        <v/>
      </c>
      <c r="S68" s="41" t="str">
        <f t="shared" ca="1" si="3"/>
        <v/>
      </c>
      <c r="T68" s="42" t="str">
        <f t="shared" ca="1" si="49"/>
        <v/>
      </c>
      <c r="U68" s="42" t="str">
        <f t="shared" ca="1" si="50"/>
        <v/>
      </c>
      <c r="V68" s="41">
        <f t="shared" ca="1" si="53"/>
        <v>1</v>
      </c>
      <c r="W68" s="45" t="str">
        <f t="shared" ca="1" si="52"/>
        <v>Appoggio!$A$11:$A$13</v>
      </c>
      <c r="X68" s="46" t="s">
        <v>252</v>
      </c>
      <c r="Y68" s="116"/>
      <c r="Z68" s="109"/>
    </row>
    <row r="69" spans="1:26" ht="14.25" customHeight="1">
      <c r="A69" s="179"/>
      <c r="B69" s="162"/>
      <c r="C69" s="163"/>
      <c r="D69" s="55" t="s">
        <v>18</v>
      </c>
      <c r="E69" s="67"/>
      <c r="F69" s="106" t="s">
        <v>18</v>
      </c>
      <c r="G69" s="165"/>
      <c r="H69" s="162"/>
      <c r="I69" s="38"/>
      <c r="J69" s="38"/>
      <c r="K69" s="184"/>
      <c r="L69" s="184"/>
      <c r="M69" s="47">
        <v>3</v>
      </c>
      <c r="N69" s="47">
        <f t="shared" si="0"/>
        <v>3</v>
      </c>
      <c r="O69" s="48" t="s">
        <v>21</v>
      </c>
      <c r="P69" s="49" cm="1">
        <f t="array" aca="1" ref="P69" ca="1">IF(F69&lt;&gt;"",SUMPRODUCT(MAX((INDIRECT(ADDRESS(1,COLUMN(K$1),2) &amp;":"&amp; ADDRESS(ROW(),COLUMN(K$1),4))&lt;&gt;"")*(ROW(INDIRECT(ADDRESS(1,COLUMN(K$1),2) &amp;":"&amp; ADDRESS(ROW(),COLUMN(K$1),4)))))),239)</f>
        <v>66</v>
      </c>
      <c r="Q69" s="50" t="str">
        <f ca="1">IF(Y69&lt;&gt;"",VLOOKUP(Y69,INDIRECT(O69),2,0),"")</f>
        <v/>
      </c>
      <c r="R69" s="50" t="str">
        <f t="shared" ca="1" si="2"/>
        <v/>
      </c>
      <c r="S69" s="50" t="str">
        <f t="shared" ca="1" si="3"/>
        <v/>
      </c>
      <c r="T69" s="51" t="str">
        <f t="shared" ca="1" si="49"/>
        <v/>
      </c>
      <c r="U69" s="51" t="str">
        <f t="shared" ca="1" si="50"/>
        <v/>
      </c>
      <c r="V69" s="50">
        <f t="shared" ca="1" si="53"/>
        <v>1</v>
      </c>
      <c r="W69" s="70" t="str">
        <f t="shared" ca="1" si="52"/>
        <v>Appoggio!$A$11:$A$13</v>
      </c>
      <c r="X69" s="78" t="s">
        <v>251</v>
      </c>
      <c r="Y69" s="117"/>
      <c r="Z69" s="114"/>
    </row>
    <row r="70" spans="1:26" ht="14.25" customHeight="1">
      <c r="A70" s="179"/>
      <c r="B70" s="198" t="s">
        <v>70</v>
      </c>
      <c r="C70" s="191" t="s">
        <v>253</v>
      </c>
      <c r="D70" s="55"/>
      <c r="E70" s="76" t="s">
        <v>18</v>
      </c>
      <c r="F70" s="106" t="s">
        <v>18</v>
      </c>
      <c r="G70" s="188" t="str">
        <f>IF(L70&gt;0,"✔","")</f>
        <v>✔</v>
      </c>
      <c r="H70" s="194" t="s">
        <v>71</v>
      </c>
      <c r="I70" s="69"/>
      <c r="J70" s="69"/>
      <c r="K70" s="196">
        <v>1</v>
      </c>
      <c r="L70" s="196">
        <f>IF(COUNTA(F70:F76)&lt;&gt;0,K70,0)</f>
        <v>1</v>
      </c>
      <c r="M70" s="60">
        <v>3</v>
      </c>
      <c r="N70" s="39">
        <f t="shared" si="0"/>
        <v>3</v>
      </c>
      <c r="O70" s="40" t="s">
        <v>21</v>
      </c>
      <c r="P70" s="41" cm="1">
        <f t="array" aca="1" ref="P70" ca="1">IF(F70&lt;&gt;"",SUMPRODUCT(MAX((INDIRECT(ADDRESS(1,COLUMN(K$1),2) &amp;":"&amp; ADDRESS(ROW(),COLUMN(K$1),4))&lt;&gt;"")*(ROW(INDIRECT(ADDRESS(1,COLUMN(K$1),2) &amp;":"&amp; ADDRESS(ROW(),COLUMN(K$1),4)))))),239)</f>
        <v>70</v>
      </c>
      <c r="Q70" s="41" t="str">
        <f t="shared" ref="Q70" ca="1" si="54">IF(Y70&lt;&gt;"",VLOOKUP(Y70,INDIRECT(O70),2,0),"")</f>
        <v/>
      </c>
      <c r="R70" s="41" t="str">
        <f t="shared" ca="1" si="2"/>
        <v/>
      </c>
      <c r="S70" s="41" t="str">
        <f t="shared" ca="1" si="3"/>
        <v/>
      </c>
      <c r="T70" s="42" t="str">
        <f t="shared" ca="1" si="49"/>
        <v/>
      </c>
      <c r="U70" s="42" t="str">
        <f t="shared" ca="1" si="50"/>
        <v/>
      </c>
      <c r="V70" s="41">
        <f t="shared" ca="1" si="53"/>
        <v>1</v>
      </c>
      <c r="W70" s="45" t="str">
        <f t="shared" ca="1" si="52"/>
        <v>Appoggio!$A$11:$A$13</v>
      </c>
      <c r="X70" s="79" t="s">
        <v>257</v>
      </c>
      <c r="Y70" s="118"/>
      <c r="Z70" s="108"/>
    </row>
    <row r="71" spans="1:26" ht="14.25" customHeight="1">
      <c r="A71" s="179"/>
      <c r="B71" s="199"/>
      <c r="C71" s="192"/>
      <c r="D71" s="55"/>
      <c r="E71" s="76" t="s">
        <v>18</v>
      </c>
      <c r="F71" s="106" t="s">
        <v>18</v>
      </c>
      <c r="G71" s="189"/>
      <c r="H71" s="195"/>
      <c r="I71" s="66" t="s">
        <v>31</v>
      </c>
      <c r="J71" s="66" t="s">
        <v>483</v>
      </c>
      <c r="K71" s="197"/>
      <c r="L71" s="197"/>
      <c r="M71" s="39">
        <v>2</v>
      </c>
      <c r="N71" s="39">
        <f t="shared" si="0"/>
        <v>2</v>
      </c>
      <c r="O71" s="39" t="s">
        <v>21</v>
      </c>
      <c r="P71" s="41" cm="1">
        <f t="array" aca="1" ref="P71" ca="1">IF(F71&lt;&gt;"",SUMPRODUCT(MAX((INDIRECT(ADDRESS(1,COLUMN(K$1),2) &amp;":"&amp; ADDRESS(ROW(),COLUMN(K$1),4))&lt;&gt;"")*(ROW(INDIRECT(ADDRESS(1,COLUMN(K$1),2) &amp;":"&amp; ADDRESS(ROW(),COLUMN(K$1),4)))))),239)</f>
        <v>70</v>
      </c>
      <c r="Q71" s="41" t="str">
        <f t="shared" ref="Q71:Q83" ca="1" si="55">IF(Y71&lt;&gt;"",VLOOKUP(Y71,INDIRECT(O71),2,0),"")</f>
        <v/>
      </c>
      <c r="R71" s="41" t="str">
        <f t="shared" ca="1" si="2"/>
        <v/>
      </c>
      <c r="S71" s="41" t="str">
        <f t="shared" ca="1" si="3"/>
        <v/>
      </c>
      <c r="T71" s="42" t="str">
        <f t="shared" ca="1" si="49"/>
        <v/>
      </c>
      <c r="U71" s="42" t="str">
        <f t="shared" ca="1" si="50"/>
        <v/>
      </c>
      <c r="V71" s="41">
        <f t="shared" ca="1" si="53"/>
        <v>1</v>
      </c>
      <c r="W71" s="45" t="str">
        <f t="shared" ca="1" si="52"/>
        <v>Appoggio!$A$11:$A$13</v>
      </c>
      <c r="X71" s="46" t="s">
        <v>256</v>
      </c>
      <c r="Y71" s="116"/>
      <c r="Z71" s="109"/>
    </row>
    <row r="72" spans="1:26" ht="14.25" customHeight="1">
      <c r="A72" s="179"/>
      <c r="B72" s="199"/>
      <c r="C72" s="192"/>
      <c r="D72" s="55"/>
      <c r="E72" s="76" t="s">
        <v>18</v>
      </c>
      <c r="F72" s="106" t="s">
        <v>18</v>
      </c>
      <c r="G72" s="189"/>
      <c r="H72" s="195"/>
      <c r="I72" s="66"/>
      <c r="J72" s="66"/>
      <c r="K72" s="197"/>
      <c r="L72" s="197"/>
      <c r="M72" s="39">
        <v>3</v>
      </c>
      <c r="N72" s="39">
        <f t="shared" si="0"/>
        <v>3</v>
      </c>
      <c r="O72" s="40" t="s">
        <v>21</v>
      </c>
      <c r="P72" s="41" cm="1">
        <f t="array" aca="1" ref="P72" ca="1">IF(F72&lt;&gt;"",SUMPRODUCT(MAX((INDIRECT(ADDRESS(1,COLUMN(K$1),2) &amp;":"&amp; ADDRESS(ROW(),COLUMN(K$1),4))&lt;&gt;"")*(ROW(INDIRECT(ADDRESS(1,COLUMN(K$1),2) &amp;":"&amp; ADDRESS(ROW(),COLUMN(K$1),4)))))),239)</f>
        <v>70</v>
      </c>
      <c r="Q72" s="41" t="str">
        <f t="shared" ca="1" si="55"/>
        <v/>
      </c>
      <c r="R72" s="41" t="str">
        <f t="shared" ca="1" si="2"/>
        <v/>
      </c>
      <c r="S72" s="41" t="str">
        <f t="shared" ca="1" si="3"/>
        <v/>
      </c>
      <c r="T72" s="42" t="str">
        <f t="shared" ca="1" si="49"/>
        <v/>
      </c>
      <c r="U72" s="42" t="str">
        <f t="shared" ca="1" si="50"/>
        <v/>
      </c>
      <c r="V72" s="41">
        <f t="shared" ca="1" si="53"/>
        <v>1</v>
      </c>
      <c r="W72" s="45" t="str">
        <f t="shared" ca="1" si="52"/>
        <v>Appoggio!$A$11:$A$13</v>
      </c>
      <c r="X72" s="46" t="s">
        <v>254</v>
      </c>
      <c r="Y72" s="116"/>
      <c r="Z72" s="109"/>
    </row>
    <row r="73" spans="1:26" ht="14.25" customHeight="1">
      <c r="A73" s="179"/>
      <c r="B73" s="199"/>
      <c r="C73" s="192"/>
      <c r="D73" s="55"/>
      <c r="E73" s="76" t="s">
        <v>18</v>
      </c>
      <c r="F73" s="106" t="s">
        <v>18</v>
      </c>
      <c r="G73" s="189"/>
      <c r="H73" s="195"/>
      <c r="I73" s="66"/>
      <c r="J73" s="66"/>
      <c r="K73" s="197"/>
      <c r="L73" s="197"/>
      <c r="M73" s="39">
        <v>2</v>
      </c>
      <c r="N73" s="39">
        <f t="shared" ref="N73:N140" si="56">IF(F73&lt;&gt;"",M73,0)</f>
        <v>2</v>
      </c>
      <c r="O73" s="40" t="s">
        <v>21</v>
      </c>
      <c r="P73" s="41" cm="1">
        <f t="array" aca="1" ref="P73" ca="1">IF(F73&lt;&gt;"",SUMPRODUCT(MAX((INDIRECT(ADDRESS(1,COLUMN(K$1),2) &amp;":"&amp; ADDRESS(ROW(),COLUMN(K$1),4))&lt;&gt;"")*(ROW(INDIRECT(ADDRESS(1,COLUMN(K$1),2) &amp;":"&amp; ADDRESS(ROW(),COLUMN(K$1),4)))))),239)</f>
        <v>70</v>
      </c>
      <c r="Q73" s="41" t="str">
        <f t="shared" ca="1" si="55"/>
        <v/>
      </c>
      <c r="R73" s="41" t="str">
        <f t="shared" ref="R73:R140" ca="1" si="57">IF(Q73&lt;&gt;"",IF(F73&lt;&gt;"",Q73*M73,0),"")</f>
        <v/>
      </c>
      <c r="S73" s="41" t="str">
        <f t="shared" ref="S73:S140" ca="1" si="58">IF(R73&lt;&gt;"",IF(R73&lt;&gt;0,R73*INDIRECT(ADDRESS(P73,COLUMN(K$1),4,)),0),"")</f>
        <v/>
      </c>
      <c r="T73" s="42" t="str">
        <f t="shared" ca="1" si="49"/>
        <v/>
      </c>
      <c r="U73" s="42" t="str">
        <f t="shared" ca="1" si="50"/>
        <v/>
      </c>
      <c r="V73" s="41">
        <f t="shared" ca="1" si="53"/>
        <v>1</v>
      </c>
      <c r="W73" s="45" t="str">
        <f t="shared" ca="1" si="52"/>
        <v>Appoggio!$A$11:$A$13</v>
      </c>
      <c r="X73" s="46" t="s">
        <v>255</v>
      </c>
      <c r="Y73" s="116"/>
      <c r="Z73" s="109"/>
    </row>
    <row r="74" spans="1:26" ht="14.25" customHeight="1">
      <c r="A74" s="179"/>
      <c r="B74" s="199"/>
      <c r="C74" s="192"/>
      <c r="D74" s="55" t="s">
        <v>18</v>
      </c>
      <c r="E74" s="76" t="s">
        <v>18</v>
      </c>
      <c r="F74" s="106" t="s">
        <v>18</v>
      </c>
      <c r="G74" s="189"/>
      <c r="H74" s="195"/>
      <c r="I74" s="137" t="s">
        <v>133</v>
      </c>
      <c r="J74" s="137"/>
      <c r="K74" s="197"/>
      <c r="L74" s="197"/>
      <c r="M74" s="127">
        <v>2</v>
      </c>
      <c r="N74" s="39">
        <f t="shared" ref="N74" si="59">IF(F74&lt;&gt;"",M74,0)</f>
        <v>2</v>
      </c>
      <c r="O74" s="128" t="s">
        <v>21</v>
      </c>
      <c r="P74" s="41" cm="1">
        <f t="array" aca="1" ref="P74" ca="1">IF(F74&lt;&gt;"",SUMPRODUCT(MAX((INDIRECT(ADDRESS(1,COLUMN(K$1),2) &amp;":"&amp; ADDRESS(ROW(),COLUMN(K$1),4))&lt;&gt;"")*(ROW(INDIRECT(ADDRESS(1,COLUMN(K$1),2) &amp;":"&amp; ADDRESS(ROW(),COLUMN(K$1),4)))))),239)</f>
        <v>70</v>
      </c>
      <c r="Q74" s="41" t="str">
        <f t="shared" ref="Q74" ca="1" si="60">IF(Y74&lt;&gt;"",VLOOKUP(Y74,INDIRECT(O74),2,0),"")</f>
        <v/>
      </c>
      <c r="R74" s="41" t="str">
        <f t="shared" ref="R74" ca="1" si="61">IF(Q74&lt;&gt;"",IF(F74&lt;&gt;"",Q74*M74,0),"")</f>
        <v/>
      </c>
      <c r="S74" s="41" t="str">
        <f t="shared" ref="S74" ca="1" si="62">IF(R74&lt;&gt;"",IF(R74&lt;&gt;0,R74*INDIRECT(ADDRESS(P74,COLUMN(K$1),4,)),0),"")</f>
        <v/>
      </c>
      <c r="T74" s="42" t="str">
        <f t="shared" ref="T74" ca="1" si="63">IF(R74&lt;&gt;"",R74/SUMIFS(M$3:M$253,P$3:P$253,P74),"")</f>
        <v/>
      </c>
      <c r="U74" s="42" t="str">
        <f t="shared" ref="U74" ca="1" si="64">IF(R74&lt;&gt;"",SUMIFS(T$3:T$253,P$3:P$253,P74),"")</f>
        <v/>
      </c>
      <c r="V74" s="41">
        <f t="shared" ref="V74" ca="1" si="65">IFERROR(INDEX(K:K,P74),0)</f>
        <v>1</v>
      </c>
      <c r="W74" s="45" t="str">
        <f t="shared" ref="W74" ca="1" si="66">ADDRESS(ROW(INDIRECT(O74)),COLUMN(INDIRECT(O74)),1,1,"Appoggio")&amp;":"&amp;ADDRESS(ROW(INDIRECT(O74))+ROWS(INDIRECT(O74))-1,COLUMN(INDIRECT(O74)),1,1)</f>
        <v>Appoggio!$A$11:$A$13</v>
      </c>
      <c r="X74" s="132" t="s">
        <v>545</v>
      </c>
      <c r="Y74" s="116"/>
      <c r="Z74" s="109"/>
    </row>
    <row r="75" spans="1:26" ht="14.25" customHeight="1">
      <c r="A75" s="179"/>
      <c r="B75" s="199"/>
      <c r="C75" s="192"/>
      <c r="D75" s="55"/>
      <c r="E75" s="76" t="s">
        <v>18</v>
      </c>
      <c r="F75" s="106" t="s">
        <v>18</v>
      </c>
      <c r="G75" s="189"/>
      <c r="H75" s="195"/>
      <c r="I75" s="66" t="s">
        <v>72</v>
      </c>
      <c r="J75" s="66" t="s">
        <v>497</v>
      </c>
      <c r="K75" s="197"/>
      <c r="L75" s="197"/>
      <c r="M75" s="39">
        <v>3</v>
      </c>
      <c r="N75" s="39">
        <f t="shared" si="56"/>
        <v>3</v>
      </c>
      <c r="O75" s="40" t="s">
        <v>21</v>
      </c>
      <c r="P75" s="41" cm="1">
        <f t="array" aca="1" ref="P75" ca="1">IF(F75&lt;&gt;"",SUMPRODUCT(MAX((INDIRECT(ADDRESS(1,COLUMN(K$1),2) &amp;":"&amp; ADDRESS(ROW(),COLUMN(K$1),4))&lt;&gt;"")*(ROW(INDIRECT(ADDRESS(1,COLUMN(K$1),2) &amp;":"&amp; ADDRESS(ROW(),COLUMN(K$1),4)))))),239)</f>
        <v>70</v>
      </c>
      <c r="Q75" s="41" t="str">
        <f t="shared" ca="1" si="55"/>
        <v/>
      </c>
      <c r="R75" s="41" t="str">
        <f t="shared" ca="1" si="57"/>
        <v/>
      </c>
      <c r="S75" s="41" t="str">
        <f t="shared" ca="1" si="58"/>
        <v/>
      </c>
      <c r="T75" s="42" t="str">
        <f t="shared" ref="T75:T87" ca="1" si="67">IF(R75&lt;&gt;"",R75/SUMIFS(M$3:M$253,P$3:P$253,P75),"")</f>
        <v/>
      </c>
      <c r="U75" s="42" t="str">
        <f t="shared" ref="U75:U87" ca="1" si="68">IF(R75&lt;&gt;"",SUMIFS(T$3:T$253,P$3:P$253,P75),"")</f>
        <v/>
      </c>
      <c r="V75" s="41">
        <f t="shared" ca="1" si="53"/>
        <v>1</v>
      </c>
      <c r="W75" s="45" t="str">
        <f t="shared" ca="1" si="52"/>
        <v>Appoggio!$A$11:$A$13</v>
      </c>
      <c r="X75" s="46" t="s">
        <v>258</v>
      </c>
      <c r="Y75" s="116"/>
      <c r="Z75" s="109"/>
    </row>
    <row r="76" spans="1:26" ht="14.25" customHeight="1">
      <c r="A76" s="179"/>
      <c r="B76" s="180"/>
      <c r="C76" s="193"/>
      <c r="D76" s="55"/>
      <c r="E76" s="76" t="s">
        <v>18</v>
      </c>
      <c r="F76" s="106" t="s">
        <v>18</v>
      </c>
      <c r="G76" s="190"/>
      <c r="H76" s="182"/>
      <c r="I76" s="69"/>
      <c r="J76" s="69"/>
      <c r="K76" s="183"/>
      <c r="L76" s="183"/>
      <c r="M76" s="47">
        <v>2</v>
      </c>
      <c r="N76" s="39">
        <f t="shared" si="56"/>
        <v>2</v>
      </c>
      <c r="O76" s="40" t="s">
        <v>21</v>
      </c>
      <c r="P76" s="49" cm="1">
        <f t="array" aca="1" ref="P76" ca="1">IF(F76&lt;&gt;"",SUMPRODUCT(MAX((INDIRECT(ADDRESS(1,COLUMN(K$1),2) &amp;":"&amp; ADDRESS(ROW(),COLUMN(K$1),4))&lt;&gt;"")*(ROW(INDIRECT(ADDRESS(1,COLUMN(K$1),2) &amp;":"&amp; ADDRESS(ROW(),COLUMN(K$1),4)))))),239)</f>
        <v>70</v>
      </c>
      <c r="Q76" s="50" t="str">
        <f t="shared" ca="1" si="55"/>
        <v/>
      </c>
      <c r="R76" s="50" t="str">
        <f t="shared" ca="1" si="57"/>
        <v/>
      </c>
      <c r="S76" s="50" t="str">
        <f t="shared" ca="1" si="58"/>
        <v/>
      </c>
      <c r="T76" s="51" t="str">
        <f t="shared" ca="1" si="67"/>
        <v/>
      </c>
      <c r="U76" s="42" t="str">
        <f t="shared" ca="1" si="68"/>
        <v/>
      </c>
      <c r="V76" s="41">
        <f t="shared" ca="1" si="53"/>
        <v>1</v>
      </c>
      <c r="W76" s="45" t="str">
        <f t="shared" ca="1" si="52"/>
        <v>Appoggio!$A$11:$A$13</v>
      </c>
      <c r="X76" s="46" t="s">
        <v>259</v>
      </c>
      <c r="Y76" s="117"/>
      <c r="Z76" s="109"/>
    </row>
    <row r="77" spans="1:26" ht="42">
      <c r="A77" s="179"/>
      <c r="B77" s="53" t="s">
        <v>73</v>
      </c>
      <c r="C77" s="54" t="s">
        <v>260</v>
      </c>
      <c r="D77" s="55" t="s">
        <v>18</v>
      </c>
      <c r="E77" s="56" t="s">
        <v>18</v>
      </c>
      <c r="F77" s="106" t="s">
        <v>18</v>
      </c>
      <c r="G77" s="124" t="str">
        <f>IF(L77&gt;0,"✔","")</f>
        <v>✔</v>
      </c>
      <c r="H77" s="57" t="s">
        <v>74</v>
      </c>
      <c r="I77" s="81"/>
      <c r="J77" s="81"/>
      <c r="K77" s="59">
        <v>1</v>
      </c>
      <c r="L77" s="59">
        <f>IF(COUNTA(F77:F77)&lt;&gt;0,K77,0)</f>
        <v>1</v>
      </c>
      <c r="M77" s="60">
        <v>3</v>
      </c>
      <c r="N77" s="60">
        <f t="shared" si="56"/>
        <v>3</v>
      </c>
      <c r="O77" s="61" t="s">
        <v>21</v>
      </c>
      <c r="P77" s="49" cm="1">
        <f t="array" aca="1" ref="P77" ca="1">IF(F77&lt;&gt;"",SUMPRODUCT(MAX((INDIRECT(ADDRESS(1,COLUMN(K$1),2) &amp;":"&amp; ADDRESS(ROW(),COLUMN(K$1),4))&lt;&gt;"")*(ROW(INDIRECT(ADDRESS(1,COLUMN(K$1),2) &amp;":"&amp; ADDRESS(ROW(),COLUMN(K$1),4)))))),239)</f>
        <v>77</v>
      </c>
      <c r="Q77" s="50" t="str">
        <f t="shared" ca="1" si="55"/>
        <v/>
      </c>
      <c r="R77" s="50" t="str">
        <f t="shared" ca="1" si="57"/>
        <v/>
      </c>
      <c r="S77" s="50" t="str">
        <f t="shared" ca="1" si="58"/>
        <v/>
      </c>
      <c r="T77" s="51" t="str">
        <f t="shared" ca="1" si="67"/>
        <v/>
      </c>
      <c r="U77" s="63" t="str">
        <f t="shared" ca="1" si="68"/>
        <v/>
      </c>
      <c r="V77" s="64">
        <f t="shared" ca="1" si="53"/>
        <v>1</v>
      </c>
      <c r="W77" s="43" t="str">
        <f t="shared" ca="1" si="52"/>
        <v>Appoggio!$A$11:$A$13</v>
      </c>
      <c r="X77" s="65" t="s">
        <v>261</v>
      </c>
      <c r="Y77" s="107"/>
      <c r="Z77" s="111"/>
    </row>
    <row r="78" spans="1:26" ht="14.25" customHeight="1">
      <c r="A78" s="179"/>
      <c r="B78" s="162" t="s">
        <v>75</v>
      </c>
      <c r="C78" s="163" t="s">
        <v>263</v>
      </c>
      <c r="D78" s="55" t="s">
        <v>18</v>
      </c>
      <c r="E78" s="56" t="s">
        <v>18</v>
      </c>
      <c r="F78" s="106" t="s">
        <v>18</v>
      </c>
      <c r="G78" s="165" t="str">
        <f>IF(L78&gt;0,"✔","")</f>
        <v>✔</v>
      </c>
      <c r="H78" s="164" t="s">
        <v>76</v>
      </c>
      <c r="I78" s="155"/>
      <c r="J78" s="155"/>
      <c r="K78" s="184">
        <v>1</v>
      </c>
      <c r="L78" s="184">
        <f>IF(COUNTA(F78:F80)&lt;&gt;0,K78,0)</f>
        <v>1</v>
      </c>
      <c r="M78" s="60">
        <v>3</v>
      </c>
      <c r="N78" s="60">
        <f t="shared" si="56"/>
        <v>3</v>
      </c>
      <c r="O78" s="61" t="s">
        <v>21</v>
      </c>
      <c r="P78" s="41" cm="1">
        <f t="array" aca="1" ref="P78" ca="1">IF(F78&lt;&gt;"",SUMPRODUCT(MAX((INDIRECT(ADDRESS(1,COLUMN(K$1),2) &amp;":"&amp; ADDRESS(ROW(),COLUMN(K$1),4))&lt;&gt;"")*(ROW(INDIRECT(ADDRESS(1,COLUMN(K$1),2) &amp;":"&amp; ADDRESS(ROW(),COLUMN(K$1),4)))))),239)</f>
        <v>78</v>
      </c>
      <c r="Q78" s="41" t="str">
        <f t="shared" ca="1" si="55"/>
        <v/>
      </c>
      <c r="R78" s="41" t="str">
        <f t="shared" ca="1" si="57"/>
        <v/>
      </c>
      <c r="S78" s="41" t="str">
        <f t="shared" ca="1" si="58"/>
        <v/>
      </c>
      <c r="T78" s="62" t="str">
        <f t="shared" ca="1" si="67"/>
        <v/>
      </c>
      <c r="U78" s="63" t="str">
        <f t="shared" ca="1" si="68"/>
        <v/>
      </c>
      <c r="V78" s="64">
        <f t="shared" ca="1" si="53"/>
        <v>1</v>
      </c>
      <c r="W78" s="43" t="str">
        <f t="shared" ca="1" si="52"/>
        <v>Appoggio!$A$11:$A$13</v>
      </c>
      <c r="X78" s="65" t="s">
        <v>262</v>
      </c>
      <c r="Y78" s="118"/>
      <c r="Z78" s="111"/>
    </row>
    <row r="79" spans="1:26" ht="14.25" customHeight="1">
      <c r="A79" s="179"/>
      <c r="B79" s="162"/>
      <c r="C79" s="163"/>
      <c r="D79" s="55" t="s">
        <v>18</v>
      </c>
      <c r="E79" s="56" t="s">
        <v>18</v>
      </c>
      <c r="F79" s="106" t="s">
        <v>18</v>
      </c>
      <c r="G79" s="165"/>
      <c r="H79" s="164"/>
      <c r="I79" s="155"/>
      <c r="J79" s="155"/>
      <c r="K79" s="184"/>
      <c r="L79" s="184"/>
      <c r="M79" s="39">
        <v>2</v>
      </c>
      <c r="N79" s="39">
        <f t="shared" si="56"/>
        <v>2</v>
      </c>
      <c r="O79" s="40" t="s">
        <v>21</v>
      </c>
      <c r="P79" s="41" cm="1">
        <f t="array" aca="1" ref="P79" ca="1">IF(F79&lt;&gt;"",SUMPRODUCT(MAX((INDIRECT(ADDRESS(1,COLUMN(K$1),2) &amp;":"&amp; ADDRESS(ROW(),COLUMN(K$1),4))&lt;&gt;"")*(ROW(INDIRECT(ADDRESS(1,COLUMN(K$1),2) &amp;":"&amp; ADDRESS(ROW(),COLUMN(K$1),4)))))),239)</f>
        <v>78</v>
      </c>
      <c r="Q79" s="41" t="str">
        <f t="shared" ca="1" si="55"/>
        <v/>
      </c>
      <c r="R79" s="41" t="str">
        <f t="shared" ca="1" si="57"/>
        <v/>
      </c>
      <c r="S79" s="41" t="str">
        <f t="shared" ca="1" si="58"/>
        <v/>
      </c>
      <c r="T79" s="42" t="str">
        <f t="shared" ca="1" si="67"/>
        <v/>
      </c>
      <c r="U79" s="42" t="str">
        <f t="shared" ca="1" si="68"/>
        <v/>
      </c>
      <c r="V79" s="41">
        <f t="shared" ca="1" si="53"/>
        <v>1</v>
      </c>
      <c r="W79" s="45" t="str">
        <f t="shared" ca="1" si="52"/>
        <v>Appoggio!$A$11:$A$13</v>
      </c>
      <c r="X79" s="46" t="s">
        <v>264</v>
      </c>
      <c r="Y79" s="116"/>
      <c r="Z79" s="109"/>
    </row>
    <row r="80" spans="1:26" ht="14.25" customHeight="1">
      <c r="A80" s="179"/>
      <c r="B80" s="162"/>
      <c r="C80" s="163"/>
      <c r="D80" s="55" t="s">
        <v>18</v>
      </c>
      <c r="E80" s="56" t="s">
        <v>18</v>
      </c>
      <c r="F80" s="106" t="s">
        <v>18</v>
      </c>
      <c r="G80" s="165"/>
      <c r="H80" s="164"/>
      <c r="I80" s="155"/>
      <c r="J80" s="155"/>
      <c r="K80" s="184"/>
      <c r="L80" s="184"/>
      <c r="M80" s="39">
        <v>3</v>
      </c>
      <c r="N80" s="39">
        <f t="shared" si="56"/>
        <v>3</v>
      </c>
      <c r="O80" s="40" t="s">
        <v>21</v>
      </c>
      <c r="P80" s="49" cm="1">
        <f t="array" aca="1" ref="P80" ca="1">IF(F80&lt;&gt;"",SUMPRODUCT(MAX((INDIRECT(ADDRESS(1,COLUMN(K$1),2) &amp;":"&amp; ADDRESS(ROW(),COLUMN(K$1),4))&lt;&gt;"")*(ROW(INDIRECT(ADDRESS(1,COLUMN(K$1),2) &amp;":"&amp; ADDRESS(ROW(),COLUMN(K$1),4)))))),239)</f>
        <v>78</v>
      </c>
      <c r="Q80" s="50" t="str">
        <f t="shared" ca="1" si="55"/>
        <v/>
      </c>
      <c r="R80" s="50" t="str">
        <f t="shared" ca="1" si="57"/>
        <v/>
      </c>
      <c r="S80" s="50" t="str">
        <f t="shared" ca="1" si="58"/>
        <v/>
      </c>
      <c r="T80" s="51" t="str">
        <f t="shared" ca="1" si="67"/>
        <v/>
      </c>
      <c r="U80" s="42" t="str">
        <f t="shared" ca="1" si="68"/>
        <v/>
      </c>
      <c r="V80" s="41">
        <f t="shared" ca="1" si="53"/>
        <v>1</v>
      </c>
      <c r="W80" s="45" t="str">
        <f t="shared" ca="1" si="52"/>
        <v>Appoggio!$A$11:$A$13</v>
      </c>
      <c r="X80" s="46" t="s">
        <v>265</v>
      </c>
      <c r="Y80" s="117"/>
      <c r="Z80" s="109"/>
    </row>
    <row r="81" spans="1:26" ht="14.25" customHeight="1">
      <c r="A81" s="179"/>
      <c r="B81" s="162" t="s">
        <v>77</v>
      </c>
      <c r="C81" s="163" t="s">
        <v>266</v>
      </c>
      <c r="D81" s="55" t="s">
        <v>18</v>
      </c>
      <c r="E81" s="56" t="s">
        <v>18</v>
      </c>
      <c r="F81" s="106" t="s">
        <v>18</v>
      </c>
      <c r="G81" s="165" t="str">
        <f>IF(L81&gt;0,"✔","")</f>
        <v>✔</v>
      </c>
      <c r="H81" s="164" t="s">
        <v>78</v>
      </c>
      <c r="I81" s="58" t="s">
        <v>79</v>
      </c>
      <c r="J81" s="58" t="s">
        <v>498</v>
      </c>
      <c r="K81" s="184">
        <v>1</v>
      </c>
      <c r="L81" s="184">
        <f>IF(COUNTA(F81:F85)&lt;&gt;0,K81,0)</f>
        <v>1</v>
      </c>
      <c r="M81" s="60">
        <v>3</v>
      </c>
      <c r="N81" s="60">
        <f t="shared" si="56"/>
        <v>3</v>
      </c>
      <c r="O81" s="61" t="s">
        <v>21</v>
      </c>
      <c r="P81" s="41" cm="1">
        <f t="array" aca="1" ref="P81" ca="1">IF(F81&lt;&gt;"",SUMPRODUCT(MAX((INDIRECT(ADDRESS(1,COLUMN(K$1),2) &amp;":"&amp; ADDRESS(ROW(),COLUMN(K$1),4))&lt;&gt;"")*(ROW(INDIRECT(ADDRESS(1,COLUMN(K$1),2) &amp;":"&amp; ADDRESS(ROW(),COLUMN(K$1),4)))))),239)</f>
        <v>81</v>
      </c>
      <c r="Q81" s="41" t="str">
        <f t="shared" ca="1" si="55"/>
        <v/>
      </c>
      <c r="R81" s="41" t="str">
        <f t="shared" ca="1" si="57"/>
        <v/>
      </c>
      <c r="S81" s="41" t="str">
        <f t="shared" ca="1" si="58"/>
        <v/>
      </c>
      <c r="T81" s="62" t="str">
        <f t="shared" ca="1" si="67"/>
        <v/>
      </c>
      <c r="U81" s="63" t="str">
        <f t="shared" ca="1" si="68"/>
        <v/>
      </c>
      <c r="V81" s="64">
        <f t="shared" ca="1" si="53"/>
        <v>1</v>
      </c>
      <c r="W81" s="43" t="str">
        <f t="shared" ca="1" si="52"/>
        <v>Appoggio!$A$11:$A$13</v>
      </c>
      <c r="X81" s="65" t="s">
        <v>267</v>
      </c>
      <c r="Y81" s="118"/>
      <c r="Z81" s="111"/>
    </row>
    <row r="82" spans="1:26" ht="14.25" customHeight="1">
      <c r="A82" s="179"/>
      <c r="B82" s="162"/>
      <c r="C82" s="163"/>
      <c r="D82" s="55" t="s">
        <v>18</v>
      </c>
      <c r="E82" s="56" t="s">
        <v>18</v>
      </c>
      <c r="F82" s="106" t="s">
        <v>18</v>
      </c>
      <c r="G82" s="165"/>
      <c r="H82" s="164"/>
      <c r="I82" s="66"/>
      <c r="J82" s="66"/>
      <c r="K82" s="184"/>
      <c r="L82" s="184"/>
      <c r="M82" s="39">
        <v>3</v>
      </c>
      <c r="N82" s="39">
        <f t="shared" si="56"/>
        <v>3</v>
      </c>
      <c r="O82" s="40" t="s">
        <v>21</v>
      </c>
      <c r="P82" s="41" cm="1">
        <f t="array" aca="1" ref="P82" ca="1">IF(F82&lt;&gt;"",SUMPRODUCT(MAX((INDIRECT(ADDRESS(1,COLUMN(K$1),2) &amp;":"&amp; ADDRESS(ROW(),COLUMN(K$1),4))&lt;&gt;"")*(ROW(INDIRECT(ADDRESS(1,COLUMN(K$1),2) &amp;":"&amp; ADDRESS(ROW(),COLUMN(K$1),4)))))),239)</f>
        <v>81</v>
      </c>
      <c r="Q82" s="41" t="str">
        <f t="shared" ca="1" si="55"/>
        <v/>
      </c>
      <c r="R82" s="41" t="str">
        <f t="shared" ca="1" si="57"/>
        <v/>
      </c>
      <c r="S82" s="41" t="str">
        <f t="shared" ca="1" si="58"/>
        <v/>
      </c>
      <c r="T82" s="42" t="str">
        <f t="shared" ca="1" si="67"/>
        <v/>
      </c>
      <c r="U82" s="42" t="str">
        <f t="shared" ca="1" si="68"/>
        <v/>
      </c>
      <c r="V82" s="41">
        <f t="shared" ca="1" si="53"/>
        <v>1</v>
      </c>
      <c r="W82" s="45" t="str">
        <f t="shared" ca="1" si="52"/>
        <v>Appoggio!$A$11:$A$13</v>
      </c>
      <c r="X82" s="46" t="s">
        <v>268</v>
      </c>
      <c r="Y82" s="116"/>
      <c r="Z82" s="109"/>
    </row>
    <row r="83" spans="1:26" ht="14.25" customHeight="1">
      <c r="A83" s="179"/>
      <c r="B83" s="162"/>
      <c r="C83" s="163"/>
      <c r="D83" s="55" t="s">
        <v>18</v>
      </c>
      <c r="E83" s="56" t="s">
        <v>18</v>
      </c>
      <c r="F83" s="106" t="s">
        <v>18</v>
      </c>
      <c r="G83" s="165"/>
      <c r="H83" s="164"/>
      <c r="I83" s="66"/>
      <c r="J83" s="66"/>
      <c r="K83" s="184"/>
      <c r="L83" s="184"/>
      <c r="M83" s="39">
        <v>3</v>
      </c>
      <c r="N83" s="39">
        <f t="shared" si="56"/>
        <v>3</v>
      </c>
      <c r="O83" s="40" t="s">
        <v>21</v>
      </c>
      <c r="P83" s="41" cm="1">
        <f t="array" aca="1" ref="P83" ca="1">IF(F83&lt;&gt;"",SUMPRODUCT(MAX((INDIRECT(ADDRESS(1,COLUMN(K$1),2) &amp;":"&amp; ADDRESS(ROW(),COLUMN(K$1),4))&lt;&gt;"")*(ROW(INDIRECT(ADDRESS(1,COLUMN(K$1),2) &amp;":"&amp; ADDRESS(ROW(),COLUMN(K$1),4)))))),239)</f>
        <v>81</v>
      </c>
      <c r="Q83" s="41" t="str">
        <f t="shared" ca="1" si="55"/>
        <v/>
      </c>
      <c r="R83" s="41" t="str">
        <f t="shared" ca="1" si="57"/>
        <v/>
      </c>
      <c r="S83" s="41" t="str">
        <f t="shared" ca="1" si="58"/>
        <v/>
      </c>
      <c r="T83" s="42" t="str">
        <f t="shared" ca="1" si="67"/>
        <v/>
      </c>
      <c r="U83" s="42" t="str">
        <f t="shared" ca="1" si="68"/>
        <v/>
      </c>
      <c r="V83" s="41">
        <f t="shared" ca="1" si="53"/>
        <v>1</v>
      </c>
      <c r="W83" s="45" t="str">
        <f t="shared" ca="1" si="52"/>
        <v>Appoggio!$A$11:$A$13</v>
      </c>
      <c r="X83" s="46" t="s">
        <v>269</v>
      </c>
      <c r="Y83" s="116"/>
      <c r="Z83" s="109"/>
    </row>
    <row r="84" spans="1:26" ht="14.25" customHeight="1">
      <c r="A84" s="179"/>
      <c r="B84" s="162"/>
      <c r="C84" s="163"/>
      <c r="D84" s="55" t="s">
        <v>18</v>
      </c>
      <c r="E84" s="56" t="s">
        <v>18</v>
      </c>
      <c r="F84" s="106" t="s">
        <v>18</v>
      </c>
      <c r="G84" s="165"/>
      <c r="H84" s="164"/>
      <c r="I84" s="66"/>
      <c r="J84" s="66"/>
      <c r="K84" s="184"/>
      <c r="L84" s="184"/>
      <c r="M84" s="39">
        <v>1</v>
      </c>
      <c r="N84" s="39">
        <f t="shared" si="56"/>
        <v>1</v>
      </c>
      <c r="O84" s="40" t="s">
        <v>21</v>
      </c>
      <c r="P84" s="41" cm="1">
        <f t="array" aca="1" ref="P84" ca="1">IF(F84&lt;&gt;"",SUMPRODUCT(MAX((INDIRECT(ADDRESS(1,COLUMN(K$1),2) &amp;":"&amp; ADDRESS(ROW(),COLUMN(K$1),4))&lt;&gt;"")*(ROW(INDIRECT(ADDRESS(1,COLUMN(K$1),2) &amp;":"&amp; ADDRESS(ROW(),COLUMN(K$1),4)))))),239)</f>
        <v>81</v>
      </c>
      <c r="Q84" s="41" t="str">
        <f t="shared" ref="Q84" ca="1" si="69">IF(Y84&lt;&gt;"",VLOOKUP(Y84,INDIRECT(O84),2,0),"")</f>
        <v/>
      </c>
      <c r="R84" s="41" t="str">
        <f t="shared" ca="1" si="57"/>
        <v/>
      </c>
      <c r="S84" s="41" t="str">
        <f t="shared" ca="1" si="58"/>
        <v/>
      </c>
      <c r="T84" s="42" t="str">
        <f t="shared" ca="1" si="67"/>
        <v/>
      </c>
      <c r="U84" s="42" t="str">
        <f t="shared" ca="1" si="68"/>
        <v/>
      </c>
      <c r="V84" s="41">
        <f t="shared" ca="1" si="53"/>
        <v>1</v>
      </c>
      <c r="W84" s="45" t="str">
        <f t="shared" ca="1" si="52"/>
        <v>Appoggio!$A$11:$A$13</v>
      </c>
      <c r="X84" s="122" t="s">
        <v>271</v>
      </c>
      <c r="Y84" s="116"/>
      <c r="Z84" s="113"/>
    </row>
    <row r="85" spans="1:26" ht="14.25" customHeight="1">
      <c r="A85" s="179"/>
      <c r="B85" s="162"/>
      <c r="C85" s="163"/>
      <c r="D85" s="55" t="s">
        <v>18</v>
      </c>
      <c r="E85" s="56" t="s">
        <v>18</v>
      </c>
      <c r="F85" s="106" t="s">
        <v>18</v>
      </c>
      <c r="G85" s="165"/>
      <c r="H85" s="164"/>
      <c r="I85" s="38"/>
      <c r="J85" s="38"/>
      <c r="K85" s="184"/>
      <c r="L85" s="184"/>
      <c r="M85" s="47">
        <v>2</v>
      </c>
      <c r="N85" s="47">
        <f t="shared" si="56"/>
        <v>2</v>
      </c>
      <c r="O85" s="48" t="s">
        <v>21</v>
      </c>
      <c r="P85" s="49" cm="1">
        <f t="array" aca="1" ref="P85" ca="1">IF(F85&lt;&gt;"",SUMPRODUCT(MAX((INDIRECT(ADDRESS(1,COLUMN(K$1),2) &amp;":"&amp; ADDRESS(ROW(),COLUMN(K$1),4))&lt;&gt;"")*(ROW(INDIRECT(ADDRESS(1,COLUMN(K$1),2) &amp;":"&amp; ADDRESS(ROW(),COLUMN(K$1),4)))))),239)</f>
        <v>81</v>
      </c>
      <c r="Q85" s="50" t="str">
        <f t="shared" ref="Q85:Q109" ca="1" si="70">IF(Y85&lt;&gt;"",VLOOKUP(Y85,INDIRECT(O85),2,0),"")</f>
        <v/>
      </c>
      <c r="R85" s="50" t="str">
        <f t="shared" ca="1" si="57"/>
        <v/>
      </c>
      <c r="S85" s="50" t="str">
        <f t="shared" ca="1" si="58"/>
        <v/>
      </c>
      <c r="T85" s="51" t="str">
        <f t="shared" ca="1" si="67"/>
        <v/>
      </c>
      <c r="U85" s="51" t="str">
        <f t="shared" ca="1" si="68"/>
        <v/>
      </c>
      <c r="V85" s="50">
        <f t="shared" ca="1" si="53"/>
        <v>1</v>
      </c>
      <c r="W85" s="70" t="str">
        <f t="shared" ca="1" si="52"/>
        <v>Appoggio!$A$11:$A$13</v>
      </c>
      <c r="X85" s="78" t="s">
        <v>270</v>
      </c>
      <c r="Y85" s="117"/>
      <c r="Z85" s="110"/>
    </row>
    <row r="86" spans="1:26" ht="14.25" customHeight="1">
      <c r="A86" s="179"/>
      <c r="B86" s="162" t="s">
        <v>80</v>
      </c>
      <c r="C86" s="163" t="s">
        <v>274</v>
      </c>
      <c r="D86" s="55" t="s">
        <v>18</v>
      </c>
      <c r="E86" s="56" t="s">
        <v>18</v>
      </c>
      <c r="F86" s="106" t="s">
        <v>18</v>
      </c>
      <c r="G86" s="165" t="str">
        <f>IF(L86&gt;0,"✔","")</f>
        <v>✔</v>
      </c>
      <c r="H86" s="164" t="s">
        <v>47</v>
      </c>
      <c r="I86" s="155"/>
      <c r="J86" s="155"/>
      <c r="K86" s="184">
        <v>2</v>
      </c>
      <c r="L86" s="184">
        <f>IF(COUNTA(F86:F90)&lt;&gt;0,K86,0)</f>
        <v>2</v>
      </c>
      <c r="M86" s="60">
        <v>2</v>
      </c>
      <c r="N86" s="60">
        <f t="shared" si="56"/>
        <v>2</v>
      </c>
      <c r="O86" s="61" t="s">
        <v>21</v>
      </c>
      <c r="P86" s="41" cm="1">
        <f t="array" aca="1" ref="P86" ca="1">IF(F86&lt;&gt;"",SUMPRODUCT(MAX((INDIRECT(ADDRESS(1,COLUMN(K$1),2) &amp;":"&amp; ADDRESS(ROW(),COLUMN(K$1),4))&lt;&gt;"")*(ROW(INDIRECT(ADDRESS(1,COLUMN(K$1),2) &amp;":"&amp; ADDRESS(ROW(),COLUMN(K$1),4)))))),239)</f>
        <v>86</v>
      </c>
      <c r="Q86" s="41" t="str">
        <f t="shared" ca="1" si="70"/>
        <v/>
      </c>
      <c r="R86" s="41" t="str">
        <f t="shared" ca="1" si="57"/>
        <v/>
      </c>
      <c r="S86" s="41" t="str">
        <f t="shared" ca="1" si="58"/>
        <v/>
      </c>
      <c r="T86" s="63" t="str">
        <f t="shared" ca="1" si="67"/>
        <v/>
      </c>
      <c r="U86" s="63" t="str">
        <f t="shared" ca="1" si="68"/>
        <v/>
      </c>
      <c r="V86" s="64">
        <f t="shared" ca="1" si="53"/>
        <v>2</v>
      </c>
      <c r="W86" s="43" t="str">
        <f t="shared" ca="1" si="52"/>
        <v>Appoggio!$A$11:$A$13</v>
      </c>
      <c r="X86" s="65" t="s">
        <v>272</v>
      </c>
      <c r="Y86" s="118"/>
      <c r="Z86" s="111"/>
    </row>
    <row r="87" spans="1:26" ht="14.25" customHeight="1">
      <c r="A87" s="179"/>
      <c r="B87" s="162"/>
      <c r="C87" s="163"/>
      <c r="D87" s="55" t="s">
        <v>18</v>
      </c>
      <c r="E87" s="56" t="s">
        <v>18</v>
      </c>
      <c r="F87" s="106" t="s">
        <v>18</v>
      </c>
      <c r="G87" s="165"/>
      <c r="H87" s="164"/>
      <c r="I87" s="155"/>
      <c r="J87" s="155"/>
      <c r="K87" s="184"/>
      <c r="L87" s="184"/>
      <c r="M87" s="39">
        <v>2</v>
      </c>
      <c r="N87" s="39">
        <f t="shared" si="56"/>
        <v>2</v>
      </c>
      <c r="O87" s="40" t="s">
        <v>21</v>
      </c>
      <c r="P87" s="41" cm="1">
        <f t="array" aca="1" ref="P87" ca="1">IF(F87&lt;&gt;"",SUMPRODUCT(MAX((INDIRECT(ADDRESS(1,COLUMN(K$1),2) &amp;":"&amp; ADDRESS(ROW(),COLUMN(K$1),4))&lt;&gt;"")*(ROW(INDIRECT(ADDRESS(1,COLUMN(K$1),2) &amp;":"&amp; ADDRESS(ROW(),COLUMN(K$1),4)))))),239)</f>
        <v>86</v>
      </c>
      <c r="Q87" s="41" t="str">
        <f t="shared" ca="1" si="70"/>
        <v/>
      </c>
      <c r="R87" s="41" t="str">
        <f t="shared" ca="1" si="57"/>
        <v/>
      </c>
      <c r="S87" s="41" t="str">
        <f t="shared" ca="1" si="58"/>
        <v/>
      </c>
      <c r="T87" s="42" t="str">
        <f t="shared" ca="1" si="67"/>
        <v/>
      </c>
      <c r="U87" s="42" t="str">
        <f t="shared" ca="1" si="68"/>
        <v/>
      </c>
      <c r="V87" s="41">
        <f t="shared" ca="1" si="53"/>
        <v>2</v>
      </c>
      <c r="W87" s="45" t="str">
        <f t="shared" ca="1" si="52"/>
        <v>Appoggio!$A$11:$A$13</v>
      </c>
      <c r="X87" s="46" t="s">
        <v>273</v>
      </c>
      <c r="Y87" s="116"/>
      <c r="Z87" s="109"/>
    </row>
    <row r="88" spans="1:26" ht="14.25" customHeight="1">
      <c r="A88" s="179"/>
      <c r="B88" s="162"/>
      <c r="C88" s="163"/>
      <c r="D88" s="55" t="s">
        <v>18</v>
      </c>
      <c r="E88" s="56" t="s">
        <v>18</v>
      </c>
      <c r="F88" s="106" t="s">
        <v>18</v>
      </c>
      <c r="G88" s="165"/>
      <c r="H88" s="164"/>
      <c r="I88" s="155"/>
      <c r="J88" s="155"/>
      <c r="K88" s="184"/>
      <c r="L88" s="184"/>
      <c r="M88" s="39">
        <v>2</v>
      </c>
      <c r="N88" s="39">
        <v>2</v>
      </c>
      <c r="O88" s="40" t="s">
        <v>21</v>
      </c>
      <c r="P88" s="41" cm="1">
        <f t="array" aca="1" ref="P88" ca="1">IF(F88&lt;&gt;"",SUMPRODUCT(MAX((INDIRECT(ADDRESS(1,COLUMN(K$1),2) &amp;":"&amp; ADDRESS(ROW(),COLUMN(K$1),4))&lt;&gt;"")*(ROW(INDIRECT(ADDRESS(1,COLUMN(K$1),2) &amp;":"&amp; ADDRESS(ROW(),COLUMN(K$1),4)))))),239)</f>
        <v>86</v>
      </c>
      <c r="Q88" s="41" t="str">
        <f t="shared" ref="Q88" ca="1" si="71">IF(Y88&lt;&gt;"",VLOOKUP(Y88,INDIRECT(O88),2,0),"")</f>
        <v/>
      </c>
      <c r="R88" s="41" t="str">
        <f t="shared" ref="R88" ca="1" si="72">IF(Q88&lt;&gt;"",IF(F88&lt;&gt;"",Q88*M88,0),"")</f>
        <v/>
      </c>
      <c r="S88" s="41" t="str">
        <f t="shared" ref="S88" ca="1" si="73">IF(R88&lt;&gt;"",IF(R88&lt;&gt;0,R88*INDIRECT(ADDRESS(P88,COLUMN(K$1),4,)),0),"")</f>
        <v/>
      </c>
      <c r="T88" s="42" t="str">
        <f t="shared" ref="T88" ca="1" si="74">IF(R88&lt;&gt;"",R88/SUMIFS(M$3:M$253,P$3:P$253,P88),"")</f>
        <v/>
      </c>
      <c r="U88" s="42" t="str">
        <f t="shared" ref="U88" ca="1" si="75">IF(R88&lt;&gt;"",SUMIFS(T$3:T$253,P$3:P$253,P88),"")</f>
        <v/>
      </c>
      <c r="V88" s="41">
        <f t="shared" ref="V88" ca="1" si="76">IFERROR(INDEX(K:K,P88),0)</f>
        <v>2</v>
      </c>
      <c r="W88" s="45" t="str">
        <f t="shared" ca="1" si="52"/>
        <v>Appoggio!$A$11:$A$13</v>
      </c>
      <c r="X88" s="132" t="s">
        <v>572</v>
      </c>
      <c r="Y88" s="116"/>
      <c r="Z88" s="109"/>
    </row>
    <row r="89" spans="1:26" ht="14.25" customHeight="1">
      <c r="A89" s="179"/>
      <c r="B89" s="162"/>
      <c r="C89" s="163"/>
      <c r="D89" s="55" t="s">
        <v>18</v>
      </c>
      <c r="E89" s="56" t="s">
        <v>18</v>
      </c>
      <c r="F89" s="106" t="s">
        <v>18</v>
      </c>
      <c r="G89" s="165"/>
      <c r="H89" s="164"/>
      <c r="I89" s="155"/>
      <c r="J89" s="155"/>
      <c r="K89" s="184"/>
      <c r="L89" s="184"/>
      <c r="M89" s="39">
        <v>2</v>
      </c>
      <c r="N89" s="39">
        <f t="shared" si="56"/>
        <v>2</v>
      </c>
      <c r="O89" s="40" t="s">
        <v>21</v>
      </c>
      <c r="P89" s="41" cm="1">
        <f t="array" aca="1" ref="P89" ca="1">IF(F89&lt;&gt;"",SUMPRODUCT(MAX((INDIRECT(ADDRESS(1,COLUMN(K$1),2) &amp;":"&amp; ADDRESS(ROW(),COLUMN(K$1),4))&lt;&gt;"")*(ROW(INDIRECT(ADDRESS(1,COLUMN(K$1),2) &amp;":"&amp; ADDRESS(ROW(),COLUMN(K$1),4)))))),239)</f>
        <v>86</v>
      </c>
      <c r="Q89" s="41" t="str">
        <f t="shared" ca="1" si="70"/>
        <v/>
      </c>
      <c r="R89" s="41" t="str">
        <f t="shared" ca="1" si="57"/>
        <v/>
      </c>
      <c r="S89" s="41" t="str">
        <f t="shared" ca="1" si="58"/>
        <v/>
      </c>
      <c r="T89" s="42" t="str">
        <f ca="1">IF(R89&lt;&gt;"",R89/SUMIFS(M$3:M$253,P$3:P$253,P89),"")</f>
        <v/>
      </c>
      <c r="U89" s="42" t="str">
        <f ca="1">IF(R89&lt;&gt;"",SUMIFS(T$3:T$253,P$3:P$253,P89),"")</f>
        <v/>
      </c>
      <c r="V89" s="41">
        <f t="shared" ca="1" si="53"/>
        <v>2</v>
      </c>
      <c r="W89" s="45" t="str">
        <f t="shared" ca="1" si="52"/>
        <v>Appoggio!$A$11:$A$13</v>
      </c>
      <c r="X89" s="46" t="s">
        <v>275</v>
      </c>
      <c r="Y89" s="116"/>
      <c r="Z89" s="109"/>
    </row>
    <row r="90" spans="1:26" ht="14.25" customHeight="1">
      <c r="A90" s="179"/>
      <c r="B90" s="162"/>
      <c r="C90" s="163"/>
      <c r="D90" s="55" t="s">
        <v>18</v>
      </c>
      <c r="E90" s="56" t="s">
        <v>18</v>
      </c>
      <c r="F90" s="106" t="s">
        <v>18</v>
      </c>
      <c r="G90" s="165"/>
      <c r="H90" s="164"/>
      <c r="I90" s="155"/>
      <c r="J90" s="155"/>
      <c r="K90" s="184"/>
      <c r="L90" s="184"/>
      <c r="M90" s="39">
        <v>2</v>
      </c>
      <c r="N90" s="39">
        <f t="shared" si="56"/>
        <v>2</v>
      </c>
      <c r="O90" s="40" t="s">
        <v>21</v>
      </c>
      <c r="P90" s="49" cm="1">
        <f t="array" aca="1" ref="P90" ca="1">IF(F90&lt;&gt;"",SUMPRODUCT(MAX((INDIRECT(ADDRESS(1,COLUMN(K$1),2) &amp;":"&amp; ADDRESS(ROW(),COLUMN(K$1),4))&lt;&gt;"")*(ROW(INDIRECT(ADDRESS(1,COLUMN(K$1),2) &amp;":"&amp; ADDRESS(ROW(),COLUMN(K$1),4)))))),239)</f>
        <v>86</v>
      </c>
      <c r="Q90" s="50" t="str">
        <f t="shared" ca="1" si="70"/>
        <v/>
      </c>
      <c r="R90" s="50" t="str">
        <f t="shared" ca="1" si="57"/>
        <v/>
      </c>
      <c r="S90" s="50" t="str">
        <f t="shared" ca="1" si="58"/>
        <v/>
      </c>
      <c r="T90" s="42" t="str">
        <f ca="1">IF(R90&lt;&gt;"",R90/SUMIFS(M$3:M$253,P$3:P$253,P90),"")</f>
        <v/>
      </c>
      <c r="U90" s="42" t="str">
        <f ca="1">IF(R90&lt;&gt;"",SUMIFS(T$3:T$253,P$3:P$253,P90),"")</f>
        <v/>
      </c>
      <c r="V90" s="41">
        <f t="shared" ca="1" si="53"/>
        <v>2</v>
      </c>
      <c r="W90" s="45" t="str">
        <f t="shared" ca="1" si="52"/>
        <v>Appoggio!$A$11:$A$13</v>
      </c>
      <c r="X90" s="46" t="s">
        <v>276</v>
      </c>
      <c r="Y90" s="117"/>
      <c r="Z90" s="109"/>
    </row>
    <row r="91" spans="1:26" ht="28">
      <c r="A91" s="166" t="s">
        <v>81</v>
      </c>
      <c r="B91" s="164" t="s">
        <v>82</v>
      </c>
      <c r="C91" s="163" t="s">
        <v>281</v>
      </c>
      <c r="D91" s="55" t="s">
        <v>18</v>
      </c>
      <c r="E91" s="56" t="s">
        <v>18</v>
      </c>
      <c r="F91" s="106" t="s">
        <v>18</v>
      </c>
      <c r="G91" s="165" t="str">
        <f>IF(L91&gt;0,"✔","")</f>
        <v>✔</v>
      </c>
      <c r="H91" s="164" t="s">
        <v>83</v>
      </c>
      <c r="I91" s="58" t="s">
        <v>84</v>
      </c>
      <c r="J91" s="75" t="s">
        <v>517</v>
      </c>
      <c r="K91" s="184">
        <v>2</v>
      </c>
      <c r="L91" s="184">
        <f>IF(COUNTA(F91:F96)&lt;&gt;0,K91,0)</f>
        <v>2</v>
      </c>
      <c r="M91" s="60">
        <v>2</v>
      </c>
      <c r="N91" s="60">
        <f t="shared" si="56"/>
        <v>2</v>
      </c>
      <c r="O91" s="61" t="s">
        <v>21</v>
      </c>
      <c r="P91" s="41" cm="1">
        <f t="array" aca="1" ref="P91" ca="1">IF(F91&lt;&gt;"",SUMPRODUCT(MAX((INDIRECT(ADDRESS(1,COLUMN(K$1),2) &amp;":"&amp; ADDRESS(ROW(),COLUMN(K$1),4))&lt;&gt;"")*(ROW(INDIRECT(ADDRESS(1,COLUMN(K$1),2) &amp;":"&amp; ADDRESS(ROW(),COLUMN(K$1),4)))))),239)</f>
        <v>91</v>
      </c>
      <c r="Q91" s="41" t="str">
        <f t="shared" ca="1" si="70"/>
        <v/>
      </c>
      <c r="R91" s="41" t="str">
        <f t="shared" ca="1" si="57"/>
        <v/>
      </c>
      <c r="S91" s="41" t="str">
        <f t="shared" ca="1" si="58"/>
        <v/>
      </c>
      <c r="T91" s="63" t="str">
        <f ca="1">IF(R91&lt;&gt;"",R91/SUMIFS(M$3:M$253,P$3:P$253,P91),"")</f>
        <v/>
      </c>
      <c r="U91" s="63" t="str">
        <f ca="1">IF(R91&lt;&gt;"",SUMIFS(T$3:T$253,P$3:P$253,P91),"")</f>
        <v/>
      </c>
      <c r="V91" s="64">
        <f t="shared" ca="1" si="53"/>
        <v>2</v>
      </c>
      <c r="W91" s="43" t="str">
        <f t="shared" ca="1" si="52"/>
        <v>Appoggio!$A$11:$A$13</v>
      </c>
      <c r="X91" s="65" t="s">
        <v>278</v>
      </c>
      <c r="Y91" s="118"/>
      <c r="Z91" s="111"/>
    </row>
    <row r="92" spans="1:26" ht="14.25" customHeight="1">
      <c r="A92" s="166"/>
      <c r="B92" s="164"/>
      <c r="C92" s="163"/>
      <c r="D92" s="55" t="s">
        <v>18</v>
      </c>
      <c r="E92" s="56" t="s">
        <v>18</v>
      </c>
      <c r="F92" s="106" t="s">
        <v>18</v>
      </c>
      <c r="G92" s="165"/>
      <c r="H92" s="164"/>
      <c r="I92" s="66"/>
      <c r="J92" s="66"/>
      <c r="K92" s="184"/>
      <c r="L92" s="184"/>
      <c r="M92" s="39">
        <v>2</v>
      </c>
      <c r="N92" s="39">
        <f t="shared" si="56"/>
        <v>2</v>
      </c>
      <c r="O92" s="40" t="s">
        <v>21</v>
      </c>
      <c r="P92" s="41" cm="1">
        <f t="array" aca="1" ref="P92" ca="1">IF(F92&lt;&gt;"",SUMPRODUCT(MAX((INDIRECT(ADDRESS(1,COLUMN(K$1),2) &amp;":"&amp; ADDRESS(ROW(),COLUMN(K$1),4))&lt;&gt;"")*(ROW(INDIRECT(ADDRESS(1,COLUMN(K$1),2) &amp;":"&amp; ADDRESS(ROW(),COLUMN(K$1),4)))))),239)</f>
        <v>91</v>
      </c>
      <c r="Q92" s="41" t="str">
        <f t="shared" ca="1" si="70"/>
        <v/>
      </c>
      <c r="R92" s="41" t="str">
        <f t="shared" ca="1" si="57"/>
        <v/>
      </c>
      <c r="S92" s="41" t="str">
        <f t="shared" ca="1" si="58"/>
        <v/>
      </c>
      <c r="T92" s="42" t="str">
        <f ca="1">IF(R92&lt;&gt;"",R92/SUMIFS(M$3:M$253,P$3:P$253,P92),"")</f>
        <v/>
      </c>
      <c r="U92" s="42" t="str">
        <f ca="1">IF(R92&lt;&gt;"",SUMIFS(T$3:T$253,P$3:P$253,P92),"")</f>
        <v/>
      </c>
      <c r="V92" s="41">
        <f t="shared" ca="1" si="53"/>
        <v>2</v>
      </c>
      <c r="W92" s="45" t="str">
        <f t="shared" ca="1" si="52"/>
        <v>Appoggio!$A$11:$A$13</v>
      </c>
      <c r="X92" s="46" t="s">
        <v>279</v>
      </c>
      <c r="Y92" s="116"/>
      <c r="Z92" s="109"/>
    </row>
    <row r="93" spans="1:26" ht="14.25" customHeight="1">
      <c r="A93" s="166"/>
      <c r="B93" s="164"/>
      <c r="C93" s="163"/>
      <c r="D93" s="55" t="s">
        <v>18</v>
      </c>
      <c r="E93" s="56" t="s">
        <v>18</v>
      </c>
      <c r="F93" s="106" t="s">
        <v>18</v>
      </c>
      <c r="G93" s="165"/>
      <c r="H93" s="164"/>
      <c r="I93" s="137" t="s">
        <v>543</v>
      </c>
      <c r="J93" s="66"/>
      <c r="K93" s="184"/>
      <c r="L93" s="184"/>
      <c r="M93" s="127">
        <v>2</v>
      </c>
      <c r="N93" s="39">
        <f t="shared" ref="N93" si="77">IF(F93&lt;&gt;"",M93,0)</f>
        <v>2</v>
      </c>
      <c r="O93" s="128" t="s">
        <v>21</v>
      </c>
      <c r="P93" s="41" cm="1">
        <f t="array" aca="1" ref="P93" ca="1">IF(F93&lt;&gt;"",SUMPRODUCT(MAX((INDIRECT(ADDRESS(1,COLUMN(K$1),2) &amp;":"&amp; ADDRESS(ROW(),COLUMN(K$1),4))&lt;&gt;"")*(ROW(INDIRECT(ADDRESS(1,COLUMN(K$1),2) &amp;":"&amp; ADDRESS(ROW(),COLUMN(K$1),4)))))),239)</f>
        <v>91</v>
      </c>
      <c r="Q93" s="41" t="str">
        <f t="shared" ref="Q93" ca="1" si="78">IF(Y93&lt;&gt;"",VLOOKUP(Y93,INDIRECT(O93),2,0),"")</f>
        <v/>
      </c>
      <c r="R93" s="41" t="str">
        <f t="shared" ref="R93" ca="1" si="79">IF(Q93&lt;&gt;"",IF(F93&lt;&gt;"",Q93*M93,0),"")</f>
        <v/>
      </c>
      <c r="S93" s="41" t="str">
        <f t="shared" ref="S93" ca="1" si="80">IF(R93&lt;&gt;"",IF(R93&lt;&gt;0,R93*INDIRECT(ADDRESS(P93,COLUMN(K$1),4,)),0),"")</f>
        <v/>
      </c>
      <c r="T93" s="42" t="str">
        <f ca="1">IF(R93&lt;&gt;"",R93/SUMIFS(M$3:M$253,P$3:P$253,P93),"")</f>
        <v/>
      </c>
      <c r="U93" s="42" t="str">
        <f ca="1">IF(R93&lt;&gt;"",SUMIFS(T$3:T$253,P$3:P$253,P93),"")</f>
        <v/>
      </c>
      <c r="V93" s="41">
        <f t="shared" ref="V93" ca="1" si="81">IFERROR(INDEX(K:K,P93),0)</f>
        <v>2</v>
      </c>
      <c r="W93" s="45" t="str">
        <f t="shared" ref="W93" ca="1" si="82">ADDRESS(ROW(INDIRECT(O93)),COLUMN(INDIRECT(O93)),1,1,"Appoggio")&amp;":"&amp;ADDRESS(ROW(INDIRECT(O93))+ROWS(INDIRECT(O93))-1,COLUMN(INDIRECT(O93)),1,1)</f>
        <v>Appoggio!$A$11:$A$13</v>
      </c>
      <c r="X93" s="132" t="s">
        <v>542</v>
      </c>
      <c r="Y93" s="116"/>
      <c r="Z93" s="109"/>
    </row>
    <row r="94" spans="1:26" ht="14.25" customHeight="1">
      <c r="A94" s="166"/>
      <c r="B94" s="164"/>
      <c r="C94" s="163"/>
      <c r="D94" s="55" t="s">
        <v>18</v>
      </c>
      <c r="E94" s="56" t="s">
        <v>18</v>
      </c>
      <c r="F94" s="106" t="s">
        <v>18</v>
      </c>
      <c r="G94" s="165"/>
      <c r="H94" s="164"/>
      <c r="I94" s="66"/>
      <c r="J94" s="66"/>
      <c r="K94" s="184"/>
      <c r="L94" s="184"/>
      <c r="M94" s="39">
        <v>3</v>
      </c>
      <c r="N94" s="39">
        <f t="shared" si="56"/>
        <v>3</v>
      </c>
      <c r="O94" s="40" t="s">
        <v>21</v>
      </c>
      <c r="P94" s="41" cm="1">
        <f t="array" aca="1" ref="P94" ca="1">IF(F94&lt;&gt;"",SUMPRODUCT(MAX((INDIRECT(ADDRESS(1,COLUMN(K$1),2) &amp;":"&amp; ADDRESS(ROW(),COLUMN(K$1),4))&lt;&gt;"")*(ROW(INDIRECT(ADDRESS(1,COLUMN(K$1),2) &amp;":"&amp; ADDRESS(ROW(),COLUMN(K$1),4)))))),239)</f>
        <v>91</v>
      </c>
      <c r="Q94" s="41" t="str">
        <f t="shared" ca="1" si="70"/>
        <v/>
      </c>
      <c r="R94" s="41" t="str">
        <f t="shared" ca="1" si="57"/>
        <v/>
      </c>
      <c r="S94" s="41" t="str">
        <f t="shared" ca="1" si="58"/>
        <v/>
      </c>
      <c r="T94" s="42" t="str">
        <f t="shared" ref="T94:T131" ca="1" si="83">IF(R94&lt;&gt;"",R94/SUMIFS(M$3:M$253,P$3:P$253,P94),"")</f>
        <v/>
      </c>
      <c r="U94" s="42" t="str">
        <f t="shared" ref="U94:U131" ca="1" si="84">IF(R94&lt;&gt;"",SUMIFS(T$3:T$253,P$3:P$253,P94),"")</f>
        <v/>
      </c>
      <c r="V94" s="41">
        <f t="shared" ca="1" si="53"/>
        <v>2</v>
      </c>
      <c r="W94" s="45" t="str">
        <f t="shared" ca="1" si="52"/>
        <v>Appoggio!$A$11:$A$13</v>
      </c>
      <c r="X94" s="46" t="s">
        <v>283</v>
      </c>
      <c r="Y94" s="116"/>
      <c r="Z94" s="109"/>
    </row>
    <row r="95" spans="1:26" ht="14.25" customHeight="1">
      <c r="A95" s="166"/>
      <c r="B95" s="164"/>
      <c r="C95" s="163"/>
      <c r="D95" s="55" t="s">
        <v>18</v>
      </c>
      <c r="E95" s="56" t="s">
        <v>18</v>
      </c>
      <c r="F95" s="106" t="s">
        <v>18</v>
      </c>
      <c r="G95" s="165"/>
      <c r="H95" s="164"/>
      <c r="I95" s="66"/>
      <c r="J95" s="66"/>
      <c r="K95" s="184"/>
      <c r="L95" s="184"/>
      <c r="M95" s="39">
        <v>2</v>
      </c>
      <c r="N95" s="39">
        <f t="shared" si="56"/>
        <v>2</v>
      </c>
      <c r="O95" s="40" t="s">
        <v>21</v>
      </c>
      <c r="P95" s="41" cm="1">
        <f t="array" aca="1" ref="P95" ca="1">IF(F95&lt;&gt;"",SUMPRODUCT(MAX((INDIRECT(ADDRESS(1,COLUMN(K$1),2) &amp;":"&amp; ADDRESS(ROW(),COLUMN(K$1),4))&lt;&gt;"")*(ROW(INDIRECT(ADDRESS(1,COLUMN(K$1),2) &amp;":"&amp; ADDRESS(ROW(),COLUMN(K$1),4)))))),239)</f>
        <v>91</v>
      </c>
      <c r="Q95" s="41" t="str">
        <f t="shared" ca="1" si="70"/>
        <v/>
      </c>
      <c r="R95" s="41" t="str">
        <f t="shared" ca="1" si="57"/>
        <v/>
      </c>
      <c r="S95" s="41" t="str">
        <f t="shared" ca="1" si="58"/>
        <v/>
      </c>
      <c r="T95" s="42" t="str">
        <f t="shared" ca="1" si="83"/>
        <v/>
      </c>
      <c r="U95" s="42" t="str">
        <f t="shared" ca="1" si="84"/>
        <v/>
      </c>
      <c r="V95" s="41">
        <f t="shared" ca="1" si="53"/>
        <v>2</v>
      </c>
      <c r="W95" s="45" t="str">
        <f t="shared" ca="1" si="52"/>
        <v>Appoggio!$A$11:$A$13</v>
      </c>
      <c r="X95" s="46" t="s">
        <v>280</v>
      </c>
      <c r="Y95" s="116"/>
      <c r="Z95" s="109"/>
    </row>
    <row r="96" spans="1:26" ht="14.25" customHeight="1">
      <c r="A96" s="166"/>
      <c r="B96" s="164"/>
      <c r="C96" s="163"/>
      <c r="D96" s="55" t="s">
        <v>18</v>
      </c>
      <c r="E96" s="56" t="s">
        <v>18</v>
      </c>
      <c r="F96" s="106" t="s">
        <v>18</v>
      </c>
      <c r="G96" s="165"/>
      <c r="H96" s="164"/>
      <c r="I96" s="38"/>
      <c r="J96" s="38"/>
      <c r="K96" s="184"/>
      <c r="L96" s="184"/>
      <c r="M96" s="47">
        <v>3</v>
      </c>
      <c r="N96" s="47">
        <f t="shared" si="56"/>
        <v>3</v>
      </c>
      <c r="O96" s="48" t="s">
        <v>21</v>
      </c>
      <c r="P96" s="49" cm="1">
        <f t="array" aca="1" ref="P96" ca="1">IF(F96&lt;&gt;"",SUMPRODUCT(MAX((INDIRECT(ADDRESS(1,COLUMN(K$1),2) &amp;":"&amp; ADDRESS(ROW(),COLUMN(K$1),4))&lt;&gt;"")*(ROW(INDIRECT(ADDRESS(1,COLUMN(K$1),2) &amp;":"&amp; ADDRESS(ROW(),COLUMN(K$1),4)))))),239)</f>
        <v>91</v>
      </c>
      <c r="Q96" s="50" t="str">
        <f t="shared" ca="1" si="70"/>
        <v/>
      </c>
      <c r="R96" s="50" t="str">
        <f t="shared" ca="1" si="57"/>
        <v/>
      </c>
      <c r="S96" s="50" t="str">
        <f t="shared" ca="1" si="58"/>
        <v/>
      </c>
      <c r="T96" s="51" t="str">
        <f t="shared" ca="1" si="83"/>
        <v/>
      </c>
      <c r="U96" s="51" t="str">
        <f t="shared" ca="1" si="84"/>
        <v/>
      </c>
      <c r="V96" s="50">
        <f t="shared" ca="1" si="53"/>
        <v>2</v>
      </c>
      <c r="W96" s="70" t="str">
        <f t="shared" ca="1" si="52"/>
        <v>Appoggio!$A$11:$A$13</v>
      </c>
      <c r="X96" s="46" t="s">
        <v>282</v>
      </c>
      <c r="Y96" s="117"/>
      <c r="Z96" s="110"/>
    </row>
    <row r="97" spans="1:26" ht="28">
      <c r="A97" s="166"/>
      <c r="B97" s="164" t="s">
        <v>85</v>
      </c>
      <c r="C97" s="163" t="s">
        <v>284</v>
      </c>
      <c r="D97" s="55" t="s">
        <v>18</v>
      </c>
      <c r="E97" s="67"/>
      <c r="F97" s="106" t="s">
        <v>18</v>
      </c>
      <c r="G97" s="165" t="str">
        <f>IF(L97&gt;0,"✔","")</f>
        <v>✔</v>
      </c>
      <c r="H97" s="164" t="s">
        <v>86</v>
      </c>
      <c r="I97" s="71" t="s">
        <v>84</v>
      </c>
      <c r="J97" s="75" t="s">
        <v>517</v>
      </c>
      <c r="K97" s="184">
        <v>1</v>
      </c>
      <c r="L97" s="184">
        <f>IF(COUNTA(F97:F100)&lt;&gt;0,K97,0)</f>
        <v>1</v>
      </c>
      <c r="M97" s="60">
        <v>3</v>
      </c>
      <c r="N97" s="60">
        <f t="shared" si="56"/>
        <v>3</v>
      </c>
      <c r="O97" s="61" t="s">
        <v>21</v>
      </c>
      <c r="P97" s="41" cm="1">
        <f t="array" aca="1" ref="P97" ca="1">IF(F97&lt;&gt;"",SUMPRODUCT(MAX((INDIRECT(ADDRESS(1,COLUMN(K$1),2) &amp;":"&amp; ADDRESS(ROW(),COLUMN(K$1),4))&lt;&gt;"")*(ROW(INDIRECT(ADDRESS(1,COLUMN(K$1),2) &amp;":"&amp; ADDRESS(ROW(),COLUMN(K$1),4)))))),239)</f>
        <v>97</v>
      </c>
      <c r="Q97" s="41" t="str">
        <f t="shared" ca="1" si="70"/>
        <v/>
      </c>
      <c r="R97" s="41" t="str">
        <f t="shared" ca="1" si="57"/>
        <v/>
      </c>
      <c r="S97" s="41" t="str">
        <f t="shared" ca="1" si="58"/>
        <v/>
      </c>
      <c r="T97" s="62" t="str">
        <f t="shared" ca="1" si="83"/>
        <v/>
      </c>
      <c r="U97" s="63" t="str">
        <f t="shared" ca="1" si="84"/>
        <v/>
      </c>
      <c r="V97" s="64">
        <f t="shared" ca="1" si="53"/>
        <v>1</v>
      </c>
      <c r="W97" s="43" t="str">
        <f t="shared" ca="1" si="52"/>
        <v>Appoggio!$A$11:$A$13</v>
      </c>
      <c r="X97" s="65" t="s">
        <v>285</v>
      </c>
      <c r="Y97" s="118"/>
      <c r="Z97" s="111"/>
    </row>
    <row r="98" spans="1:26" ht="14.25" customHeight="1">
      <c r="A98" s="166"/>
      <c r="B98" s="164"/>
      <c r="C98" s="163"/>
      <c r="D98" s="55" t="s">
        <v>18</v>
      </c>
      <c r="E98" s="67"/>
      <c r="F98" s="106" t="s">
        <v>18</v>
      </c>
      <c r="G98" s="165"/>
      <c r="H98" s="164"/>
      <c r="I98" s="66"/>
      <c r="J98" s="66"/>
      <c r="K98" s="184"/>
      <c r="L98" s="184"/>
      <c r="M98" s="39">
        <v>1</v>
      </c>
      <c r="N98" s="39">
        <f t="shared" si="56"/>
        <v>1</v>
      </c>
      <c r="O98" s="40" t="s">
        <v>21</v>
      </c>
      <c r="P98" s="41" cm="1">
        <f t="array" aca="1" ref="P98" ca="1">IF(F98&lt;&gt;"",SUMPRODUCT(MAX((INDIRECT(ADDRESS(1,COLUMN(K$1),2) &amp;":"&amp; ADDRESS(ROW(),COLUMN(K$1),4))&lt;&gt;"")*(ROW(INDIRECT(ADDRESS(1,COLUMN(K$1),2) &amp;":"&amp; ADDRESS(ROW(),COLUMN(K$1),4)))))),239)</f>
        <v>97</v>
      </c>
      <c r="Q98" s="41" t="str">
        <f t="shared" ca="1" si="70"/>
        <v/>
      </c>
      <c r="R98" s="41" t="str">
        <f t="shared" ca="1" si="57"/>
        <v/>
      </c>
      <c r="S98" s="41" t="str">
        <f t="shared" ca="1" si="58"/>
        <v/>
      </c>
      <c r="T98" s="42" t="str">
        <f t="shared" ca="1" si="83"/>
        <v/>
      </c>
      <c r="U98" s="42" t="str">
        <f t="shared" ca="1" si="84"/>
        <v/>
      </c>
      <c r="V98" s="41">
        <f t="shared" ca="1" si="53"/>
        <v>1</v>
      </c>
      <c r="W98" s="45" t="str">
        <f t="shared" ca="1" si="52"/>
        <v>Appoggio!$A$11:$A$13</v>
      </c>
      <c r="X98" s="46" t="s">
        <v>287</v>
      </c>
      <c r="Y98" s="116"/>
      <c r="Z98" s="109"/>
    </row>
    <row r="99" spans="1:26" ht="14.25" customHeight="1">
      <c r="A99" s="166"/>
      <c r="B99" s="164"/>
      <c r="C99" s="163"/>
      <c r="D99" s="55" t="s">
        <v>18</v>
      </c>
      <c r="E99" s="67"/>
      <c r="F99" s="106" t="s">
        <v>18</v>
      </c>
      <c r="G99" s="165"/>
      <c r="H99" s="164"/>
      <c r="I99" s="66"/>
      <c r="J99" s="66"/>
      <c r="K99" s="184"/>
      <c r="L99" s="184"/>
      <c r="M99" s="39">
        <v>2</v>
      </c>
      <c r="N99" s="39">
        <f t="shared" si="56"/>
        <v>2</v>
      </c>
      <c r="O99" s="40" t="s">
        <v>21</v>
      </c>
      <c r="P99" s="41" cm="1">
        <f t="array" aca="1" ref="P99" ca="1">IF(F99&lt;&gt;"",SUMPRODUCT(MAX((INDIRECT(ADDRESS(1,COLUMN(K$1),2) &amp;":"&amp; ADDRESS(ROW(),COLUMN(K$1),4))&lt;&gt;"")*(ROW(INDIRECT(ADDRESS(1,COLUMN(K$1),2) &amp;":"&amp; ADDRESS(ROW(),COLUMN(K$1),4)))))),239)</f>
        <v>97</v>
      </c>
      <c r="Q99" s="41" t="str">
        <f t="shared" ca="1" si="70"/>
        <v/>
      </c>
      <c r="R99" s="41" t="str">
        <f t="shared" ca="1" si="57"/>
        <v/>
      </c>
      <c r="S99" s="41" t="str">
        <f t="shared" ca="1" si="58"/>
        <v/>
      </c>
      <c r="T99" s="42" t="str">
        <f t="shared" ca="1" si="83"/>
        <v/>
      </c>
      <c r="U99" s="42" t="str">
        <f t="shared" ca="1" si="84"/>
        <v/>
      </c>
      <c r="V99" s="41">
        <f t="shared" ca="1" si="53"/>
        <v>1</v>
      </c>
      <c r="W99" s="45" t="str">
        <f t="shared" ca="1" si="52"/>
        <v>Appoggio!$A$11:$A$13</v>
      </c>
      <c r="X99" s="46" t="s">
        <v>288</v>
      </c>
      <c r="Y99" s="116"/>
      <c r="Z99" s="109"/>
    </row>
    <row r="100" spans="1:26" ht="14.25" customHeight="1">
      <c r="A100" s="166"/>
      <c r="B100" s="164"/>
      <c r="C100" s="163"/>
      <c r="D100" s="55" t="s">
        <v>18</v>
      </c>
      <c r="E100" s="67"/>
      <c r="F100" s="106" t="s">
        <v>18</v>
      </c>
      <c r="G100" s="165"/>
      <c r="H100" s="164"/>
      <c r="I100" s="38"/>
      <c r="J100" s="38"/>
      <c r="K100" s="184"/>
      <c r="L100" s="184"/>
      <c r="M100" s="47">
        <v>1</v>
      </c>
      <c r="N100" s="47">
        <f t="shared" si="56"/>
        <v>1</v>
      </c>
      <c r="O100" s="48" t="s">
        <v>21</v>
      </c>
      <c r="P100" s="49" cm="1">
        <f t="array" aca="1" ref="P100" ca="1">IF(F100&lt;&gt;"",SUMPRODUCT(MAX((INDIRECT(ADDRESS(1,COLUMN(K$1),2) &amp;":"&amp; ADDRESS(ROW(),COLUMN(K$1),4))&lt;&gt;"")*(ROW(INDIRECT(ADDRESS(1,COLUMN(K$1),2) &amp;":"&amp; ADDRESS(ROW(),COLUMN(K$1),4)))))),239)</f>
        <v>97</v>
      </c>
      <c r="Q100" s="50" t="str">
        <f t="shared" ca="1" si="70"/>
        <v/>
      </c>
      <c r="R100" s="50" t="str">
        <f t="shared" ca="1" si="57"/>
        <v/>
      </c>
      <c r="S100" s="50" t="str">
        <f t="shared" ca="1" si="58"/>
        <v/>
      </c>
      <c r="T100" s="51" t="str">
        <f t="shared" ca="1" si="83"/>
        <v/>
      </c>
      <c r="U100" s="51" t="str">
        <f t="shared" ca="1" si="84"/>
        <v/>
      </c>
      <c r="V100" s="50">
        <f t="shared" ca="1" si="53"/>
        <v>1</v>
      </c>
      <c r="W100" s="70" t="str">
        <f t="shared" ca="1" si="52"/>
        <v>Appoggio!$A$11:$A$13</v>
      </c>
      <c r="X100" s="52" t="s">
        <v>286</v>
      </c>
      <c r="Y100" s="117"/>
      <c r="Z100" s="110"/>
    </row>
    <row r="101" spans="1:26" ht="14.25" customHeight="1">
      <c r="A101" s="166"/>
      <c r="B101" s="164" t="s">
        <v>87</v>
      </c>
      <c r="C101" s="163" t="s">
        <v>289</v>
      </c>
      <c r="D101" s="55" t="s">
        <v>18</v>
      </c>
      <c r="E101" s="55" t="s">
        <v>18</v>
      </c>
      <c r="F101" s="106" t="s">
        <v>18</v>
      </c>
      <c r="G101" s="165" t="str">
        <f>IF(L101&gt;0,"✔","")</f>
        <v>✔</v>
      </c>
      <c r="H101" s="164" t="s">
        <v>88</v>
      </c>
      <c r="I101" s="153" t="s">
        <v>40</v>
      </c>
      <c r="J101" s="153" t="s">
        <v>487</v>
      </c>
      <c r="K101" s="184">
        <v>2</v>
      </c>
      <c r="L101" s="184">
        <f>IF(COUNTA(F101:F108)&lt;&gt;0,K101,0)</f>
        <v>2</v>
      </c>
      <c r="M101" s="60">
        <v>3</v>
      </c>
      <c r="N101" s="60">
        <f t="shared" si="56"/>
        <v>3</v>
      </c>
      <c r="O101" s="61" t="s">
        <v>21</v>
      </c>
      <c r="P101" s="41" cm="1">
        <f t="array" aca="1" ref="P101" ca="1">IF(F101&lt;&gt;"",SUMPRODUCT(MAX((INDIRECT(ADDRESS(1,COLUMN(K$1),2) &amp;":"&amp; ADDRESS(ROW(),COLUMN(K$1),4))&lt;&gt;"")*(ROW(INDIRECT(ADDRESS(1,COLUMN(K$1),2) &amp;":"&amp; ADDRESS(ROW(),COLUMN(K$1),4)))))),239)</f>
        <v>101</v>
      </c>
      <c r="Q101" s="41" t="str">
        <f t="shared" ca="1" si="70"/>
        <v/>
      </c>
      <c r="R101" s="41" t="str">
        <f t="shared" ca="1" si="57"/>
        <v/>
      </c>
      <c r="S101" s="41" t="str">
        <f t="shared" ca="1" si="58"/>
        <v/>
      </c>
      <c r="T101" s="63" t="str">
        <f t="shared" ca="1" si="83"/>
        <v/>
      </c>
      <c r="U101" s="63" t="str">
        <f t="shared" ca="1" si="84"/>
        <v/>
      </c>
      <c r="V101" s="64">
        <f t="shared" ca="1" si="53"/>
        <v>2</v>
      </c>
      <c r="W101" s="43" t="str">
        <f t="shared" ca="1" si="52"/>
        <v>Appoggio!$A$11:$A$13</v>
      </c>
      <c r="X101" s="65" t="s">
        <v>290</v>
      </c>
      <c r="Y101" s="118"/>
      <c r="Z101" s="111"/>
    </row>
    <row r="102" spans="1:26" ht="14.25" customHeight="1">
      <c r="A102" s="166"/>
      <c r="B102" s="164"/>
      <c r="C102" s="163"/>
      <c r="D102" s="55" t="s">
        <v>18</v>
      </c>
      <c r="E102" s="55" t="s">
        <v>18</v>
      </c>
      <c r="F102" s="106" t="s">
        <v>18</v>
      </c>
      <c r="G102" s="165"/>
      <c r="H102" s="164"/>
      <c r="I102" s="153"/>
      <c r="J102" s="153"/>
      <c r="K102" s="184"/>
      <c r="L102" s="184"/>
      <c r="M102" s="39">
        <v>3</v>
      </c>
      <c r="N102" s="39">
        <f t="shared" si="56"/>
        <v>3</v>
      </c>
      <c r="O102" s="40" t="s">
        <v>21</v>
      </c>
      <c r="P102" s="41" cm="1">
        <f t="array" aca="1" ref="P102" ca="1">IF(F102&lt;&gt;"",SUMPRODUCT(MAX((INDIRECT(ADDRESS(1,COLUMN(K$1),2) &amp;":"&amp; ADDRESS(ROW(),COLUMN(K$1),4))&lt;&gt;"")*(ROW(INDIRECT(ADDRESS(1,COLUMN(K$1),2) &amp;":"&amp; ADDRESS(ROW(),COLUMN(K$1),4)))))),239)</f>
        <v>101</v>
      </c>
      <c r="Q102" s="41" t="str">
        <f t="shared" ca="1" si="70"/>
        <v/>
      </c>
      <c r="R102" s="41" t="str">
        <f t="shared" ca="1" si="57"/>
        <v/>
      </c>
      <c r="S102" s="41" t="str">
        <f t="shared" ca="1" si="58"/>
        <v/>
      </c>
      <c r="T102" s="42" t="str">
        <f t="shared" ca="1" si="83"/>
        <v/>
      </c>
      <c r="U102" s="42" t="str">
        <f t="shared" ca="1" si="84"/>
        <v/>
      </c>
      <c r="V102" s="41">
        <f t="shared" ca="1" si="53"/>
        <v>2</v>
      </c>
      <c r="W102" s="45" t="str">
        <f t="shared" ca="1" si="52"/>
        <v>Appoggio!$A$11:$A$13</v>
      </c>
      <c r="X102" s="46" t="s">
        <v>292</v>
      </c>
      <c r="Y102" s="116"/>
      <c r="Z102" s="109"/>
    </row>
    <row r="103" spans="1:26" ht="14.25" customHeight="1">
      <c r="A103" s="166"/>
      <c r="B103" s="164"/>
      <c r="C103" s="163"/>
      <c r="D103" s="55" t="s">
        <v>18</v>
      </c>
      <c r="E103" s="55" t="s">
        <v>18</v>
      </c>
      <c r="F103" s="106" t="s">
        <v>18</v>
      </c>
      <c r="G103" s="165"/>
      <c r="H103" s="164"/>
      <c r="I103" s="153"/>
      <c r="J103" s="153"/>
      <c r="K103" s="184"/>
      <c r="L103" s="184"/>
      <c r="M103" s="39">
        <v>2</v>
      </c>
      <c r="N103" s="39">
        <f t="shared" si="56"/>
        <v>2</v>
      </c>
      <c r="O103" s="40" t="s">
        <v>21</v>
      </c>
      <c r="P103" s="41" cm="1">
        <f t="array" aca="1" ref="P103" ca="1">IF(F103&lt;&gt;"",SUMPRODUCT(MAX((INDIRECT(ADDRESS(1,COLUMN(K$1),2) &amp;":"&amp; ADDRESS(ROW(),COLUMN(K$1),4))&lt;&gt;"")*(ROW(INDIRECT(ADDRESS(1,COLUMN(K$1),2) &amp;":"&amp; ADDRESS(ROW(),COLUMN(K$1),4)))))),239)</f>
        <v>101</v>
      </c>
      <c r="Q103" s="41" t="str">
        <f t="shared" ca="1" si="70"/>
        <v/>
      </c>
      <c r="R103" s="41" t="str">
        <f t="shared" ca="1" si="57"/>
        <v/>
      </c>
      <c r="S103" s="41" t="str">
        <f t="shared" ca="1" si="58"/>
        <v/>
      </c>
      <c r="T103" s="42" t="str">
        <f t="shared" ca="1" si="83"/>
        <v/>
      </c>
      <c r="U103" s="42" t="str">
        <f t="shared" ca="1" si="84"/>
        <v/>
      </c>
      <c r="V103" s="41">
        <f t="shared" ca="1" si="53"/>
        <v>2</v>
      </c>
      <c r="W103" s="45" t="str">
        <f t="shared" ca="1" si="52"/>
        <v>Appoggio!$A$11:$A$13</v>
      </c>
      <c r="X103" s="46" t="s">
        <v>291</v>
      </c>
      <c r="Y103" s="116"/>
      <c r="Z103" s="109"/>
    </row>
    <row r="104" spans="1:26" ht="14.25" customHeight="1">
      <c r="A104" s="166"/>
      <c r="B104" s="164"/>
      <c r="C104" s="163"/>
      <c r="D104" s="55" t="s">
        <v>18</v>
      </c>
      <c r="E104" s="55" t="s">
        <v>18</v>
      </c>
      <c r="F104" s="106" t="s">
        <v>18</v>
      </c>
      <c r="G104" s="165"/>
      <c r="H104" s="164"/>
      <c r="I104" s="153"/>
      <c r="J104" s="153"/>
      <c r="K104" s="184"/>
      <c r="L104" s="184"/>
      <c r="M104" s="39">
        <v>3</v>
      </c>
      <c r="N104" s="39">
        <f t="shared" si="56"/>
        <v>3</v>
      </c>
      <c r="O104" s="40" t="s">
        <v>21</v>
      </c>
      <c r="P104" s="41" cm="1">
        <f t="array" aca="1" ref="P104" ca="1">IF(F104&lt;&gt;"",SUMPRODUCT(MAX((INDIRECT(ADDRESS(1,COLUMN(K$1),2) &amp;":"&amp; ADDRESS(ROW(),COLUMN(K$1),4))&lt;&gt;"")*(ROW(INDIRECT(ADDRESS(1,COLUMN(K$1),2) &amp;":"&amp; ADDRESS(ROW(),COLUMN(K$1),4)))))),239)</f>
        <v>101</v>
      </c>
      <c r="Q104" s="41" t="str">
        <f t="shared" ca="1" si="70"/>
        <v/>
      </c>
      <c r="R104" s="41" t="str">
        <f t="shared" ca="1" si="57"/>
        <v/>
      </c>
      <c r="S104" s="41" t="str">
        <f t="shared" ca="1" si="58"/>
        <v/>
      </c>
      <c r="T104" s="42" t="str">
        <f t="shared" ca="1" si="83"/>
        <v/>
      </c>
      <c r="U104" s="42" t="str">
        <f t="shared" ca="1" si="84"/>
        <v/>
      </c>
      <c r="V104" s="41">
        <f t="shared" ca="1" si="53"/>
        <v>2</v>
      </c>
      <c r="W104" s="45" t="str">
        <f t="shared" ca="1" si="52"/>
        <v>Appoggio!$A$11:$A$13</v>
      </c>
      <c r="X104" s="46" t="s">
        <v>294</v>
      </c>
      <c r="Y104" s="116"/>
      <c r="Z104" s="109"/>
    </row>
    <row r="105" spans="1:26" ht="14.25" customHeight="1">
      <c r="A105" s="166"/>
      <c r="B105" s="164"/>
      <c r="C105" s="163"/>
      <c r="D105" s="55" t="s">
        <v>18</v>
      </c>
      <c r="E105" s="55" t="s">
        <v>18</v>
      </c>
      <c r="F105" s="106" t="s">
        <v>18</v>
      </c>
      <c r="G105" s="165"/>
      <c r="H105" s="164"/>
      <c r="I105" s="153"/>
      <c r="J105" s="153"/>
      <c r="K105" s="184"/>
      <c r="L105" s="184"/>
      <c r="M105" s="39">
        <v>1</v>
      </c>
      <c r="N105" s="39">
        <f t="shared" si="56"/>
        <v>1</v>
      </c>
      <c r="O105" s="40" t="s">
        <v>21</v>
      </c>
      <c r="P105" s="41" cm="1">
        <f t="array" aca="1" ref="P105" ca="1">IF(F105&lt;&gt;"",SUMPRODUCT(MAX((INDIRECT(ADDRESS(1,COLUMN(K$1),2) &amp;":"&amp; ADDRESS(ROW(),COLUMN(K$1),4))&lt;&gt;"")*(ROW(INDIRECT(ADDRESS(1,COLUMN(K$1),2) &amp;":"&amp; ADDRESS(ROW(),COLUMN(K$1),4)))))),239)</f>
        <v>101</v>
      </c>
      <c r="Q105" s="41" t="str">
        <f t="shared" ca="1" si="70"/>
        <v/>
      </c>
      <c r="R105" s="41" t="str">
        <f t="shared" ca="1" si="57"/>
        <v/>
      </c>
      <c r="S105" s="41" t="str">
        <f t="shared" ca="1" si="58"/>
        <v/>
      </c>
      <c r="T105" s="42" t="str">
        <f t="shared" ca="1" si="83"/>
        <v/>
      </c>
      <c r="U105" s="42" t="str">
        <f t="shared" ca="1" si="84"/>
        <v/>
      </c>
      <c r="V105" s="41">
        <f t="shared" ca="1" si="53"/>
        <v>2</v>
      </c>
      <c r="W105" s="45" t="str">
        <f t="shared" ca="1" si="52"/>
        <v>Appoggio!$A$11:$A$13</v>
      </c>
      <c r="X105" s="46" t="s">
        <v>293</v>
      </c>
      <c r="Y105" s="116"/>
      <c r="Z105" s="109"/>
    </row>
    <row r="106" spans="1:26" ht="14.25" customHeight="1">
      <c r="A106" s="166"/>
      <c r="B106" s="164"/>
      <c r="C106" s="163"/>
      <c r="D106" s="55" t="s">
        <v>18</v>
      </c>
      <c r="E106" s="55" t="s">
        <v>18</v>
      </c>
      <c r="F106" s="106" t="s">
        <v>18</v>
      </c>
      <c r="G106" s="165"/>
      <c r="H106" s="164"/>
      <c r="I106" s="153"/>
      <c r="J106" s="153"/>
      <c r="K106" s="184"/>
      <c r="L106" s="184"/>
      <c r="M106" s="39">
        <v>3</v>
      </c>
      <c r="N106" s="39">
        <f t="shared" si="56"/>
        <v>3</v>
      </c>
      <c r="O106" s="40" t="s">
        <v>21</v>
      </c>
      <c r="P106" s="41" cm="1">
        <f t="array" aca="1" ref="P106" ca="1">IF(F106&lt;&gt;"",SUMPRODUCT(MAX((INDIRECT(ADDRESS(1,COLUMN(K$1),2) &amp;":"&amp; ADDRESS(ROW(),COLUMN(K$1),4))&lt;&gt;"")*(ROW(INDIRECT(ADDRESS(1,COLUMN(K$1),2) &amp;":"&amp; ADDRESS(ROW(),COLUMN(K$1),4)))))),239)</f>
        <v>101</v>
      </c>
      <c r="Q106" s="41" t="str">
        <f t="shared" ca="1" si="70"/>
        <v/>
      </c>
      <c r="R106" s="41" t="str">
        <f t="shared" ca="1" si="57"/>
        <v/>
      </c>
      <c r="S106" s="41" t="str">
        <f t="shared" ca="1" si="58"/>
        <v/>
      </c>
      <c r="T106" s="42" t="str">
        <f t="shared" ca="1" si="83"/>
        <v/>
      </c>
      <c r="U106" s="42" t="str">
        <f t="shared" ca="1" si="84"/>
        <v/>
      </c>
      <c r="V106" s="41">
        <f t="shared" ca="1" si="53"/>
        <v>2</v>
      </c>
      <c r="W106" s="45" t="str">
        <f t="shared" ca="1" si="52"/>
        <v>Appoggio!$A$11:$A$13</v>
      </c>
      <c r="X106" s="46" t="s">
        <v>295</v>
      </c>
      <c r="Y106" s="116"/>
      <c r="Z106" s="109"/>
    </row>
    <row r="107" spans="1:26" ht="14.25" customHeight="1">
      <c r="A107" s="166"/>
      <c r="B107" s="164"/>
      <c r="C107" s="163"/>
      <c r="D107" s="55" t="s">
        <v>18</v>
      </c>
      <c r="E107" s="55" t="s">
        <v>18</v>
      </c>
      <c r="F107" s="106" t="s">
        <v>18</v>
      </c>
      <c r="G107" s="165"/>
      <c r="H107" s="164"/>
      <c r="I107" s="153"/>
      <c r="J107" s="153"/>
      <c r="K107" s="184"/>
      <c r="L107" s="184"/>
      <c r="M107" s="39">
        <v>2</v>
      </c>
      <c r="N107" s="39">
        <f t="shared" si="56"/>
        <v>2</v>
      </c>
      <c r="O107" s="40" t="s">
        <v>21</v>
      </c>
      <c r="P107" s="41" cm="1">
        <f t="array" aca="1" ref="P107" ca="1">IF(F107&lt;&gt;"",SUMPRODUCT(MAX((INDIRECT(ADDRESS(1,COLUMN(K$1),2) &amp;":"&amp; ADDRESS(ROW(),COLUMN(K$1),4))&lt;&gt;"")*(ROW(INDIRECT(ADDRESS(1,COLUMN(K$1),2) &amp;":"&amp; ADDRESS(ROW(),COLUMN(K$1),4)))))),239)</f>
        <v>101</v>
      </c>
      <c r="Q107" s="41" t="str">
        <f t="shared" ca="1" si="70"/>
        <v/>
      </c>
      <c r="R107" s="41" t="str">
        <f t="shared" ca="1" si="57"/>
        <v/>
      </c>
      <c r="S107" s="41" t="str">
        <f t="shared" ca="1" si="58"/>
        <v/>
      </c>
      <c r="T107" s="42" t="str">
        <f t="shared" ca="1" si="83"/>
        <v/>
      </c>
      <c r="U107" s="42" t="str">
        <f t="shared" ca="1" si="84"/>
        <v/>
      </c>
      <c r="V107" s="41">
        <f t="shared" ca="1" si="53"/>
        <v>2</v>
      </c>
      <c r="W107" s="45" t="str">
        <f t="shared" ca="1" si="52"/>
        <v>Appoggio!$A$11:$A$13</v>
      </c>
      <c r="X107" s="46" t="s">
        <v>296</v>
      </c>
      <c r="Y107" s="116"/>
      <c r="Z107" s="109"/>
    </row>
    <row r="108" spans="1:26" ht="14.25" customHeight="1">
      <c r="A108" s="166"/>
      <c r="B108" s="164"/>
      <c r="C108" s="163"/>
      <c r="D108" s="55" t="s">
        <v>18</v>
      </c>
      <c r="E108" s="55" t="s">
        <v>18</v>
      </c>
      <c r="F108" s="106" t="s">
        <v>18</v>
      </c>
      <c r="G108" s="165"/>
      <c r="H108" s="164"/>
      <c r="I108" s="153"/>
      <c r="J108" s="153"/>
      <c r="K108" s="184"/>
      <c r="L108" s="184"/>
      <c r="M108" s="39">
        <v>2</v>
      </c>
      <c r="N108" s="39">
        <f t="shared" si="56"/>
        <v>2</v>
      </c>
      <c r="O108" s="40" t="s">
        <v>21</v>
      </c>
      <c r="P108" s="49" cm="1">
        <f t="array" aca="1" ref="P108" ca="1">IF(F108&lt;&gt;"",SUMPRODUCT(MAX((INDIRECT(ADDRESS(1,COLUMN(K$1),2) &amp;":"&amp; ADDRESS(ROW(),COLUMN(K$1),4))&lt;&gt;"")*(ROW(INDIRECT(ADDRESS(1,COLUMN(K$1),2) &amp;":"&amp; ADDRESS(ROW(),COLUMN(K$1),4)))))),239)</f>
        <v>101</v>
      </c>
      <c r="Q108" s="50" t="str">
        <f t="shared" ca="1" si="70"/>
        <v/>
      </c>
      <c r="R108" s="50" t="str">
        <f t="shared" ca="1" si="57"/>
        <v/>
      </c>
      <c r="S108" s="50" t="str">
        <f t="shared" ca="1" si="58"/>
        <v/>
      </c>
      <c r="T108" s="42" t="str">
        <f t="shared" ca="1" si="83"/>
        <v/>
      </c>
      <c r="U108" s="42" t="str">
        <f t="shared" ca="1" si="84"/>
        <v/>
      </c>
      <c r="V108" s="41">
        <f t="shared" ca="1" si="53"/>
        <v>2</v>
      </c>
      <c r="W108" s="45" t="str">
        <f t="shared" ca="1" si="52"/>
        <v>Appoggio!$A$11:$A$13</v>
      </c>
      <c r="X108" s="46" t="s">
        <v>297</v>
      </c>
      <c r="Y108" s="117"/>
      <c r="Z108" s="109"/>
    </row>
    <row r="109" spans="1:26" ht="14.25" customHeight="1">
      <c r="A109" s="166"/>
      <c r="B109" s="164" t="s">
        <v>89</v>
      </c>
      <c r="C109" s="163" t="s">
        <v>299</v>
      </c>
      <c r="D109" s="55" t="s">
        <v>18</v>
      </c>
      <c r="E109" s="67"/>
      <c r="F109" s="106" t="s">
        <v>18</v>
      </c>
      <c r="G109" s="165" t="str">
        <f>IF(L109&gt;0,"✔","")</f>
        <v>✔</v>
      </c>
      <c r="H109" s="200" t="s">
        <v>90</v>
      </c>
      <c r="I109" s="71" t="s">
        <v>29</v>
      </c>
      <c r="J109" s="71" t="s">
        <v>481</v>
      </c>
      <c r="K109" s="184">
        <v>1</v>
      </c>
      <c r="L109" s="184">
        <f>IF(COUNTA(F109:F113)&lt;&gt;0,K109,0)</f>
        <v>1</v>
      </c>
      <c r="M109" s="60">
        <v>3</v>
      </c>
      <c r="N109" s="60">
        <f t="shared" si="56"/>
        <v>3</v>
      </c>
      <c r="O109" s="61" t="s">
        <v>21</v>
      </c>
      <c r="P109" s="41" cm="1">
        <f t="array" aca="1" ref="P109" ca="1">IF(F109&lt;&gt;"",SUMPRODUCT(MAX((INDIRECT(ADDRESS(1,COLUMN(K$1),2) &amp;":"&amp; ADDRESS(ROW(),COLUMN(K$1),4))&lt;&gt;"")*(ROW(INDIRECT(ADDRESS(1,COLUMN(K$1),2) &amp;":"&amp; ADDRESS(ROW(),COLUMN(K$1),4)))))),239)</f>
        <v>109</v>
      </c>
      <c r="Q109" s="41" t="str">
        <f t="shared" ca="1" si="70"/>
        <v/>
      </c>
      <c r="R109" s="41" t="str">
        <f t="shared" ca="1" si="57"/>
        <v/>
      </c>
      <c r="S109" s="41" t="str">
        <f t="shared" ca="1" si="58"/>
        <v/>
      </c>
      <c r="T109" s="63" t="str">
        <f t="shared" ca="1" si="83"/>
        <v/>
      </c>
      <c r="U109" s="63" t="str">
        <f t="shared" ca="1" si="84"/>
        <v/>
      </c>
      <c r="V109" s="64">
        <f t="shared" ca="1" si="53"/>
        <v>1</v>
      </c>
      <c r="W109" s="43" t="str">
        <f t="shared" ca="1" si="52"/>
        <v>Appoggio!$A$11:$A$13</v>
      </c>
      <c r="X109" s="65" t="s">
        <v>298</v>
      </c>
      <c r="Y109" s="118"/>
      <c r="Z109" s="111"/>
    </row>
    <row r="110" spans="1:26" ht="14.25" customHeight="1">
      <c r="A110" s="166"/>
      <c r="B110" s="164"/>
      <c r="C110" s="163"/>
      <c r="D110" s="55" t="s">
        <v>18</v>
      </c>
      <c r="E110" s="67"/>
      <c r="F110" s="106" t="s">
        <v>18</v>
      </c>
      <c r="G110" s="165"/>
      <c r="H110" s="200"/>
      <c r="I110" s="66" t="s">
        <v>92</v>
      </c>
      <c r="J110" s="66" t="s">
        <v>499</v>
      </c>
      <c r="K110" s="184"/>
      <c r="L110" s="184"/>
      <c r="M110" s="39">
        <v>3</v>
      </c>
      <c r="N110" s="39">
        <f t="shared" si="56"/>
        <v>3</v>
      </c>
      <c r="O110" s="40" t="s">
        <v>21</v>
      </c>
      <c r="P110" s="41" cm="1">
        <f t="array" aca="1" ref="P110" ca="1">IF(F110&lt;&gt;"",SUMPRODUCT(MAX((INDIRECT(ADDRESS(1,COLUMN(K$1),2) &amp;":"&amp; ADDRESS(ROW(),COLUMN(K$1),4))&lt;&gt;"")*(ROW(INDIRECT(ADDRESS(1,COLUMN(K$1),2) &amp;":"&amp; ADDRESS(ROW(),COLUMN(K$1),4)))))),239)</f>
        <v>109</v>
      </c>
      <c r="Q110" s="41" t="str">
        <f t="shared" ref="Q110:Q174" ca="1" si="85">IF(Y110&lt;&gt;"",VLOOKUP(Y110,INDIRECT(O110),2,0),"")</f>
        <v/>
      </c>
      <c r="R110" s="41" t="str">
        <f t="shared" ca="1" si="57"/>
        <v/>
      </c>
      <c r="S110" s="41" t="str">
        <f t="shared" ca="1" si="58"/>
        <v/>
      </c>
      <c r="T110" s="42" t="str">
        <f t="shared" ca="1" si="83"/>
        <v/>
      </c>
      <c r="U110" s="42" t="str">
        <f t="shared" ca="1" si="84"/>
        <v/>
      </c>
      <c r="V110" s="41">
        <f t="shared" ca="1" si="53"/>
        <v>1</v>
      </c>
      <c r="W110" s="45" t="str">
        <f t="shared" ca="1" si="52"/>
        <v>Appoggio!$A$11:$A$13</v>
      </c>
      <c r="X110" s="46" t="s">
        <v>304</v>
      </c>
      <c r="Y110" s="116"/>
      <c r="Z110" s="109"/>
    </row>
    <row r="111" spans="1:26" ht="14.25" customHeight="1">
      <c r="A111" s="166"/>
      <c r="B111" s="164"/>
      <c r="C111" s="163"/>
      <c r="D111" s="55" t="s">
        <v>18</v>
      </c>
      <c r="E111" s="67"/>
      <c r="F111" s="106" t="s">
        <v>18</v>
      </c>
      <c r="G111" s="165"/>
      <c r="H111" s="201" t="s">
        <v>93</v>
      </c>
      <c r="I111" s="66" t="s">
        <v>94</v>
      </c>
      <c r="J111" s="66" t="s">
        <v>500</v>
      </c>
      <c r="K111" s="184"/>
      <c r="L111" s="184"/>
      <c r="M111" s="39">
        <v>3</v>
      </c>
      <c r="N111" s="39">
        <f t="shared" si="56"/>
        <v>3</v>
      </c>
      <c r="O111" s="40" t="s">
        <v>21</v>
      </c>
      <c r="P111" s="41" cm="1">
        <f t="array" aca="1" ref="P111" ca="1">IF(F111&lt;&gt;"",SUMPRODUCT(MAX((INDIRECT(ADDRESS(1,COLUMN(K$1),2) &amp;":"&amp; ADDRESS(ROW(),COLUMN(K$1),4))&lt;&gt;"")*(ROW(INDIRECT(ADDRESS(1,COLUMN(K$1),2) &amp;":"&amp; ADDRESS(ROW(),COLUMN(K$1),4)))))),239)</f>
        <v>109</v>
      </c>
      <c r="Q111" s="41" t="str">
        <f t="shared" ca="1" si="85"/>
        <v/>
      </c>
      <c r="R111" s="41" t="str">
        <f t="shared" ca="1" si="57"/>
        <v/>
      </c>
      <c r="S111" s="41" t="str">
        <f t="shared" ca="1" si="58"/>
        <v/>
      </c>
      <c r="T111" s="42" t="str">
        <f t="shared" ca="1" si="83"/>
        <v/>
      </c>
      <c r="U111" s="42" t="str">
        <f t="shared" ca="1" si="84"/>
        <v/>
      </c>
      <c r="V111" s="41">
        <f t="shared" ca="1" si="53"/>
        <v>1</v>
      </c>
      <c r="W111" s="45" t="str">
        <f t="shared" ca="1" si="52"/>
        <v>Appoggio!$A$11:$A$13</v>
      </c>
      <c r="X111" s="46" t="s">
        <v>301</v>
      </c>
      <c r="Y111" s="116"/>
      <c r="Z111" s="109"/>
    </row>
    <row r="112" spans="1:26" ht="14.25" customHeight="1">
      <c r="A112" s="166"/>
      <c r="B112" s="164"/>
      <c r="C112" s="163"/>
      <c r="D112" s="55" t="s">
        <v>18</v>
      </c>
      <c r="E112" s="67"/>
      <c r="F112" s="106" t="s">
        <v>18</v>
      </c>
      <c r="G112" s="165"/>
      <c r="H112" s="201"/>
      <c r="I112" s="66"/>
      <c r="J112" s="66"/>
      <c r="K112" s="184"/>
      <c r="L112" s="184"/>
      <c r="M112" s="39">
        <v>2</v>
      </c>
      <c r="N112" s="39">
        <f t="shared" si="56"/>
        <v>2</v>
      </c>
      <c r="O112" s="40" t="s">
        <v>21</v>
      </c>
      <c r="P112" s="41" cm="1">
        <f t="array" aca="1" ref="P112" ca="1">IF(F112&lt;&gt;"",SUMPRODUCT(MAX((INDIRECT(ADDRESS(1,COLUMN(K$1),2) &amp;":"&amp; ADDRESS(ROW(),COLUMN(K$1),4))&lt;&gt;"")*(ROW(INDIRECT(ADDRESS(1,COLUMN(K$1),2) &amp;":"&amp; ADDRESS(ROW(),COLUMN(K$1),4)))))),239)</f>
        <v>109</v>
      </c>
      <c r="Q112" s="41" t="str">
        <f t="shared" ca="1" si="85"/>
        <v/>
      </c>
      <c r="R112" s="41" t="str">
        <f t="shared" ca="1" si="57"/>
        <v/>
      </c>
      <c r="S112" s="41" t="str">
        <f t="shared" ca="1" si="58"/>
        <v/>
      </c>
      <c r="T112" s="42" t="str">
        <f t="shared" ca="1" si="83"/>
        <v/>
      </c>
      <c r="U112" s="42" t="str">
        <f t="shared" ca="1" si="84"/>
        <v/>
      </c>
      <c r="V112" s="41">
        <f t="shared" ca="1" si="53"/>
        <v>1</v>
      </c>
      <c r="W112" s="45" t="str">
        <f t="shared" ca="1" si="52"/>
        <v>Appoggio!$A$11:$A$13</v>
      </c>
      <c r="X112" s="46" t="s">
        <v>302</v>
      </c>
      <c r="Y112" s="116"/>
      <c r="Z112" s="109"/>
    </row>
    <row r="113" spans="1:26" ht="14.25" customHeight="1">
      <c r="A113" s="166"/>
      <c r="B113" s="164"/>
      <c r="C113" s="163"/>
      <c r="D113" s="55" t="s">
        <v>18</v>
      </c>
      <c r="E113" s="67"/>
      <c r="F113" s="106" t="s">
        <v>18</v>
      </c>
      <c r="G113" s="165"/>
      <c r="H113" s="201"/>
      <c r="I113" s="83"/>
      <c r="J113" s="83"/>
      <c r="K113" s="184"/>
      <c r="L113" s="184"/>
      <c r="M113" s="39">
        <v>2</v>
      </c>
      <c r="N113" s="39">
        <f t="shared" si="56"/>
        <v>2</v>
      </c>
      <c r="O113" s="40" t="s">
        <v>21</v>
      </c>
      <c r="P113" s="49" cm="1">
        <f t="array" aca="1" ref="P113" ca="1">IF(F113&lt;&gt;"",SUMPRODUCT(MAX((INDIRECT(ADDRESS(1,COLUMN(K$1),2) &amp;":"&amp; ADDRESS(ROW(),COLUMN(K$1),4))&lt;&gt;"")*(ROW(INDIRECT(ADDRESS(1,COLUMN(K$1),2) &amp;":"&amp; ADDRESS(ROW(),COLUMN(K$1),4)))))),239)</f>
        <v>109</v>
      </c>
      <c r="Q113" s="50" t="str">
        <f t="shared" ca="1" si="85"/>
        <v/>
      </c>
      <c r="R113" s="50" t="str">
        <f t="shared" ca="1" si="57"/>
        <v/>
      </c>
      <c r="S113" s="50" t="str">
        <f t="shared" ca="1" si="58"/>
        <v/>
      </c>
      <c r="T113" s="42" t="str">
        <f t="shared" ca="1" si="83"/>
        <v/>
      </c>
      <c r="U113" s="42" t="str">
        <f t="shared" ca="1" si="84"/>
        <v/>
      </c>
      <c r="V113" s="41">
        <f t="shared" ca="1" si="53"/>
        <v>1</v>
      </c>
      <c r="W113" s="45" t="str">
        <f t="shared" ca="1" si="52"/>
        <v>Appoggio!$A$11:$A$13</v>
      </c>
      <c r="X113" s="46" t="s">
        <v>303</v>
      </c>
      <c r="Y113" s="117"/>
      <c r="Z113" s="109"/>
    </row>
    <row r="114" spans="1:26" ht="14.25" customHeight="1">
      <c r="A114" s="166"/>
      <c r="B114" s="164" t="s">
        <v>95</v>
      </c>
      <c r="C114" s="163" t="s">
        <v>300</v>
      </c>
      <c r="D114" s="55" t="s">
        <v>18</v>
      </c>
      <c r="E114" s="76" t="s">
        <v>18</v>
      </c>
      <c r="F114" s="106" t="s">
        <v>18</v>
      </c>
      <c r="G114" s="165" t="str">
        <f>IF(L114&gt;0,"✔","")</f>
        <v>✔</v>
      </c>
      <c r="H114" s="164" t="s">
        <v>96</v>
      </c>
      <c r="I114" s="71"/>
      <c r="J114" s="71"/>
      <c r="K114" s="184">
        <v>2</v>
      </c>
      <c r="L114" s="184">
        <f>IF(COUNTA(F114:F117)&lt;&gt;0,K114,0)</f>
        <v>2</v>
      </c>
      <c r="M114" s="60">
        <v>3</v>
      </c>
      <c r="N114" s="60">
        <f t="shared" si="56"/>
        <v>3</v>
      </c>
      <c r="O114" s="61" t="s">
        <v>21</v>
      </c>
      <c r="P114" s="41" cm="1">
        <f t="array" aca="1" ref="P114" ca="1">IF(F114&lt;&gt;"",SUMPRODUCT(MAX((INDIRECT(ADDRESS(1,COLUMN(K$1),2) &amp;":"&amp; ADDRESS(ROW(),COLUMN(K$1),4))&lt;&gt;"")*(ROW(INDIRECT(ADDRESS(1,COLUMN(K$1),2) &amp;":"&amp; ADDRESS(ROW(),COLUMN(K$1),4)))))),239)</f>
        <v>114</v>
      </c>
      <c r="Q114" s="41" t="str">
        <f t="shared" ca="1" si="85"/>
        <v/>
      </c>
      <c r="R114" s="41" t="str">
        <f t="shared" ca="1" si="57"/>
        <v/>
      </c>
      <c r="S114" s="41" t="str">
        <f t="shared" ca="1" si="58"/>
        <v/>
      </c>
      <c r="T114" s="63" t="str">
        <f t="shared" ca="1" si="83"/>
        <v/>
      </c>
      <c r="U114" s="63" t="str">
        <f t="shared" ca="1" si="84"/>
        <v/>
      </c>
      <c r="V114" s="64">
        <f t="shared" ca="1" si="53"/>
        <v>2</v>
      </c>
      <c r="W114" s="43" t="str">
        <f t="shared" ca="1" si="52"/>
        <v>Appoggio!$A$11:$A$13</v>
      </c>
      <c r="X114" s="65" t="s">
        <v>305</v>
      </c>
      <c r="Y114" s="118"/>
      <c r="Z114" s="111"/>
    </row>
    <row r="115" spans="1:26" ht="14.25" customHeight="1">
      <c r="A115" s="166"/>
      <c r="B115" s="164"/>
      <c r="C115" s="163"/>
      <c r="D115" s="55" t="s">
        <v>18</v>
      </c>
      <c r="E115" s="76" t="s">
        <v>18</v>
      </c>
      <c r="F115" s="106" t="s">
        <v>18</v>
      </c>
      <c r="G115" s="165"/>
      <c r="H115" s="164"/>
      <c r="I115" s="66" t="s">
        <v>91</v>
      </c>
      <c r="J115" s="66" t="s">
        <v>501</v>
      </c>
      <c r="K115" s="184"/>
      <c r="L115" s="184"/>
      <c r="M115" s="39">
        <v>2</v>
      </c>
      <c r="N115" s="39">
        <f t="shared" si="56"/>
        <v>2</v>
      </c>
      <c r="O115" s="40" t="s">
        <v>21</v>
      </c>
      <c r="P115" s="41" cm="1">
        <f t="array" aca="1" ref="P115" ca="1">IF(F115&lt;&gt;"",SUMPRODUCT(MAX((INDIRECT(ADDRESS(1,COLUMN(K$1),2) &amp;":"&amp; ADDRESS(ROW(),COLUMN(K$1),4))&lt;&gt;"")*(ROW(INDIRECT(ADDRESS(1,COLUMN(K$1),2) &amp;":"&amp; ADDRESS(ROW(),COLUMN(K$1),4)))))),239)</f>
        <v>114</v>
      </c>
      <c r="Q115" s="41" t="str">
        <f t="shared" ca="1" si="85"/>
        <v/>
      </c>
      <c r="R115" s="41" t="str">
        <f t="shared" ca="1" si="57"/>
        <v/>
      </c>
      <c r="S115" s="41" t="str">
        <f t="shared" ca="1" si="58"/>
        <v/>
      </c>
      <c r="T115" s="42" t="str">
        <f t="shared" ca="1" si="83"/>
        <v/>
      </c>
      <c r="U115" s="42" t="str">
        <f t="shared" ca="1" si="84"/>
        <v/>
      </c>
      <c r="V115" s="41">
        <f t="shared" ca="1" si="53"/>
        <v>2</v>
      </c>
      <c r="W115" s="45" t="str">
        <f t="shared" ca="1" si="52"/>
        <v>Appoggio!$A$11:$A$13</v>
      </c>
      <c r="X115" s="46" t="s">
        <v>306</v>
      </c>
      <c r="Y115" s="116"/>
      <c r="Z115" s="109"/>
    </row>
    <row r="116" spans="1:26" ht="14.25" customHeight="1">
      <c r="A116" s="166"/>
      <c r="B116" s="164"/>
      <c r="C116" s="163"/>
      <c r="D116" s="55" t="s">
        <v>18</v>
      </c>
      <c r="E116" s="76" t="s">
        <v>18</v>
      </c>
      <c r="F116" s="106" t="s">
        <v>18</v>
      </c>
      <c r="G116" s="165"/>
      <c r="H116" s="164"/>
      <c r="I116" s="66"/>
      <c r="J116" s="66"/>
      <c r="K116" s="184"/>
      <c r="L116" s="184"/>
      <c r="M116" s="39">
        <v>2</v>
      </c>
      <c r="N116" s="39">
        <f t="shared" si="56"/>
        <v>2</v>
      </c>
      <c r="O116" s="40" t="s">
        <v>21</v>
      </c>
      <c r="P116" s="41" cm="1">
        <f t="array" aca="1" ref="P116" ca="1">IF(F116&lt;&gt;"",SUMPRODUCT(MAX((INDIRECT(ADDRESS(1,COLUMN(K$1),2) &amp;":"&amp; ADDRESS(ROW(),COLUMN(K$1),4))&lt;&gt;"")*(ROW(INDIRECT(ADDRESS(1,COLUMN(K$1),2) &amp;":"&amp; ADDRESS(ROW(),COLUMN(K$1),4)))))),239)</f>
        <v>114</v>
      </c>
      <c r="Q116" s="41" t="str">
        <f t="shared" ca="1" si="85"/>
        <v/>
      </c>
      <c r="R116" s="41" t="str">
        <f t="shared" ca="1" si="57"/>
        <v/>
      </c>
      <c r="S116" s="41" t="str">
        <f t="shared" ca="1" si="58"/>
        <v/>
      </c>
      <c r="T116" s="42" t="str">
        <f t="shared" ca="1" si="83"/>
        <v/>
      </c>
      <c r="U116" s="42" t="str">
        <f t="shared" ca="1" si="84"/>
        <v/>
      </c>
      <c r="V116" s="41">
        <f t="shared" ca="1" si="53"/>
        <v>2</v>
      </c>
      <c r="W116" s="45" t="str">
        <f t="shared" ca="1" si="52"/>
        <v>Appoggio!$A$11:$A$13</v>
      </c>
      <c r="X116" s="46" t="s">
        <v>307</v>
      </c>
      <c r="Y116" s="116"/>
      <c r="Z116" s="109"/>
    </row>
    <row r="117" spans="1:26" ht="14.25" customHeight="1">
      <c r="A117" s="166"/>
      <c r="B117" s="164"/>
      <c r="C117" s="163"/>
      <c r="D117" s="55" t="s">
        <v>18</v>
      </c>
      <c r="E117" s="76" t="s">
        <v>18</v>
      </c>
      <c r="F117" s="106" t="s">
        <v>18</v>
      </c>
      <c r="G117" s="165"/>
      <c r="H117" s="164"/>
      <c r="I117" s="38"/>
      <c r="J117" s="38"/>
      <c r="K117" s="184"/>
      <c r="L117" s="184"/>
      <c r="M117" s="47">
        <v>1</v>
      </c>
      <c r="N117" s="47">
        <f t="shared" si="56"/>
        <v>1</v>
      </c>
      <c r="O117" s="48" t="s">
        <v>21</v>
      </c>
      <c r="P117" s="49" cm="1">
        <f t="array" aca="1" ref="P117" ca="1">IF(F117&lt;&gt;"",SUMPRODUCT(MAX((INDIRECT(ADDRESS(1,COLUMN(K$1),2) &amp;":"&amp; ADDRESS(ROW(),COLUMN(K$1),4))&lt;&gt;"")*(ROW(INDIRECT(ADDRESS(1,COLUMN(K$1),2) &amp;":"&amp; ADDRESS(ROW(),COLUMN(K$1),4)))))),239)</f>
        <v>114</v>
      </c>
      <c r="Q117" s="50" t="str">
        <f t="shared" ca="1" si="85"/>
        <v/>
      </c>
      <c r="R117" s="50" t="str">
        <f t="shared" ca="1" si="57"/>
        <v/>
      </c>
      <c r="S117" s="50" t="str">
        <f t="shared" ca="1" si="58"/>
        <v/>
      </c>
      <c r="T117" s="51" t="str">
        <f t="shared" ca="1" si="83"/>
        <v/>
      </c>
      <c r="U117" s="51" t="str">
        <f t="shared" ca="1" si="84"/>
        <v/>
      </c>
      <c r="V117" s="50">
        <f t="shared" ca="1" si="53"/>
        <v>2</v>
      </c>
      <c r="W117" s="70" t="str">
        <f t="shared" ca="1" si="52"/>
        <v>Appoggio!$A$11:$A$13</v>
      </c>
      <c r="X117" s="52" t="s">
        <v>308</v>
      </c>
      <c r="Y117" s="117"/>
      <c r="Z117" s="110"/>
    </row>
    <row r="118" spans="1:26" ht="14.25" customHeight="1">
      <c r="A118" s="166"/>
      <c r="B118" s="164" t="s">
        <v>97</v>
      </c>
      <c r="C118" s="163" t="s">
        <v>309</v>
      </c>
      <c r="D118" s="55" t="s">
        <v>18</v>
      </c>
      <c r="E118" s="76" t="s">
        <v>18</v>
      </c>
      <c r="F118" s="106" t="s">
        <v>18</v>
      </c>
      <c r="G118" s="165" t="str">
        <f>IF(L118&gt;0,"✔","")</f>
        <v>✔</v>
      </c>
      <c r="H118" s="164" t="s">
        <v>98</v>
      </c>
      <c r="I118" s="153" t="s">
        <v>99</v>
      </c>
      <c r="J118" s="152" t="s">
        <v>502</v>
      </c>
      <c r="K118" s="184">
        <v>1</v>
      </c>
      <c r="L118" s="184">
        <f>IF(COUNTA(F118:F122)&lt;&gt;0,K118,0)</f>
        <v>1</v>
      </c>
      <c r="M118" s="60">
        <v>2</v>
      </c>
      <c r="N118" s="60">
        <f t="shared" si="56"/>
        <v>2</v>
      </c>
      <c r="O118" s="61" t="s">
        <v>21</v>
      </c>
      <c r="P118" s="41" cm="1">
        <f t="array" aca="1" ref="P118" ca="1">IF(F118&lt;&gt;"",SUMPRODUCT(MAX((INDIRECT(ADDRESS(1,COLUMN(K$1),2) &amp;":"&amp; ADDRESS(ROW(),COLUMN(K$1),4))&lt;&gt;"")*(ROW(INDIRECT(ADDRESS(1,COLUMN(K$1),2) &amp;":"&amp; ADDRESS(ROW(),COLUMN(K$1),4)))))),239)</f>
        <v>118</v>
      </c>
      <c r="Q118" s="41" t="str">
        <f t="shared" ca="1" si="85"/>
        <v/>
      </c>
      <c r="R118" s="41" t="str">
        <f t="shared" ca="1" si="57"/>
        <v/>
      </c>
      <c r="S118" s="41" t="str">
        <f t="shared" ca="1" si="58"/>
        <v/>
      </c>
      <c r="T118" s="62" t="str">
        <f t="shared" ca="1" si="83"/>
        <v/>
      </c>
      <c r="U118" s="63" t="str">
        <f t="shared" ca="1" si="84"/>
        <v/>
      </c>
      <c r="V118" s="64">
        <f t="shared" ca="1" si="53"/>
        <v>1</v>
      </c>
      <c r="W118" s="43" t="str">
        <f t="shared" ca="1" si="52"/>
        <v>Appoggio!$A$11:$A$13</v>
      </c>
      <c r="X118" s="65" t="s">
        <v>310</v>
      </c>
      <c r="Y118" s="118"/>
      <c r="Z118" s="111"/>
    </row>
    <row r="119" spans="1:26" ht="14.25" customHeight="1">
      <c r="A119" s="166"/>
      <c r="B119" s="164"/>
      <c r="C119" s="163"/>
      <c r="D119" s="55" t="s">
        <v>18</v>
      </c>
      <c r="E119" s="76" t="s">
        <v>18</v>
      </c>
      <c r="F119" s="106" t="s">
        <v>18</v>
      </c>
      <c r="G119" s="165"/>
      <c r="H119" s="164"/>
      <c r="I119" s="153"/>
      <c r="J119" s="153"/>
      <c r="K119" s="184"/>
      <c r="L119" s="184"/>
      <c r="M119" s="39">
        <v>2</v>
      </c>
      <c r="N119" s="39">
        <f t="shared" si="56"/>
        <v>2</v>
      </c>
      <c r="O119" s="40" t="s">
        <v>21</v>
      </c>
      <c r="P119" s="41" cm="1">
        <f t="array" aca="1" ref="P119" ca="1">IF(F119&lt;&gt;"",SUMPRODUCT(MAX((INDIRECT(ADDRESS(1,COLUMN(K$1),2) &amp;":"&amp; ADDRESS(ROW(),COLUMN(K$1),4))&lt;&gt;"")*(ROW(INDIRECT(ADDRESS(1,COLUMN(K$1),2) &amp;":"&amp; ADDRESS(ROW(),COLUMN(K$1),4)))))),239)</f>
        <v>118</v>
      </c>
      <c r="Q119" s="41" t="str">
        <f t="shared" ca="1" si="85"/>
        <v/>
      </c>
      <c r="R119" s="41" t="str">
        <f t="shared" ca="1" si="57"/>
        <v/>
      </c>
      <c r="S119" s="41" t="str">
        <f t="shared" ca="1" si="58"/>
        <v/>
      </c>
      <c r="T119" s="42" t="str">
        <f t="shared" ca="1" si="83"/>
        <v/>
      </c>
      <c r="U119" s="42" t="str">
        <f t="shared" ca="1" si="84"/>
        <v/>
      </c>
      <c r="V119" s="41">
        <f t="shared" ca="1" si="53"/>
        <v>1</v>
      </c>
      <c r="W119" s="45" t="str">
        <f t="shared" ca="1" si="52"/>
        <v>Appoggio!$A$11:$A$13</v>
      </c>
      <c r="X119" s="46" t="s">
        <v>313</v>
      </c>
      <c r="Y119" s="116"/>
      <c r="Z119" s="109"/>
    </row>
    <row r="120" spans="1:26" ht="14.25" customHeight="1">
      <c r="A120" s="166"/>
      <c r="B120" s="164"/>
      <c r="C120" s="163"/>
      <c r="D120" s="55" t="s">
        <v>18</v>
      </c>
      <c r="E120" s="76" t="s">
        <v>18</v>
      </c>
      <c r="F120" s="106" t="s">
        <v>18</v>
      </c>
      <c r="G120" s="165"/>
      <c r="H120" s="164"/>
      <c r="I120" s="153"/>
      <c r="J120" s="153"/>
      <c r="K120" s="184"/>
      <c r="L120" s="184"/>
      <c r="M120" s="39">
        <v>3</v>
      </c>
      <c r="N120" s="39">
        <f t="shared" si="56"/>
        <v>3</v>
      </c>
      <c r="O120" s="40" t="s">
        <v>21</v>
      </c>
      <c r="P120" s="41" cm="1">
        <f t="array" aca="1" ref="P120" ca="1">IF(F120&lt;&gt;"",SUMPRODUCT(MAX((INDIRECT(ADDRESS(1,COLUMN(K$1),2) &amp;":"&amp; ADDRESS(ROW(),COLUMN(K$1),4))&lt;&gt;"")*(ROW(INDIRECT(ADDRESS(1,COLUMN(K$1),2) &amp;":"&amp; ADDRESS(ROW(),COLUMN(K$1),4)))))),239)</f>
        <v>118</v>
      </c>
      <c r="Q120" s="41" t="str">
        <f t="shared" ca="1" si="85"/>
        <v/>
      </c>
      <c r="R120" s="41" t="str">
        <f t="shared" ca="1" si="57"/>
        <v/>
      </c>
      <c r="S120" s="41" t="str">
        <f t="shared" ca="1" si="58"/>
        <v/>
      </c>
      <c r="T120" s="42" t="str">
        <f t="shared" ca="1" si="83"/>
        <v/>
      </c>
      <c r="U120" s="42" t="str">
        <f t="shared" ca="1" si="84"/>
        <v/>
      </c>
      <c r="V120" s="41">
        <f t="shared" ca="1" si="53"/>
        <v>1</v>
      </c>
      <c r="W120" s="45" t="str">
        <f t="shared" ca="1" si="52"/>
        <v>Appoggio!$A$11:$A$13</v>
      </c>
      <c r="X120" s="46" t="s">
        <v>314</v>
      </c>
      <c r="Y120" s="116"/>
      <c r="Z120" s="109"/>
    </row>
    <row r="121" spans="1:26" ht="14.25" customHeight="1">
      <c r="A121" s="166"/>
      <c r="B121" s="164"/>
      <c r="C121" s="163"/>
      <c r="D121" s="55" t="s">
        <v>18</v>
      </c>
      <c r="E121" s="76" t="s">
        <v>18</v>
      </c>
      <c r="F121" s="106" t="s">
        <v>18</v>
      </c>
      <c r="G121" s="165"/>
      <c r="H121" s="164"/>
      <c r="I121" s="153"/>
      <c r="J121" s="153"/>
      <c r="K121" s="184"/>
      <c r="L121" s="184"/>
      <c r="M121" s="39">
        <v>2</v>
      </c>
      <c r="N121" s="39">
        <f t="shared" si="56"/>
        <v>2</v>
      </c>
      <c r="O121" s="40" t="s">
        <v>21</v>
      </c>
      <c r="P121" s="41" cm="1">
        <f t="array" aca="1" ref="P121" ca="1">IF(F121&lt;&gt;"",SUMPRODUCT(MAX((INDIRECT(ADDRESS(1,COLUMN(K$1),2) &amp;":"&amp; ADDRESS(ROW(),COLUMN(K$1),4))&lt;&gt;"")*(ROW(INDIRECT(ADDRESS(1,COLUMN(K$1),2) &amp;":"&amp; ADDRESS(ROW(),COLUMN(K$1),4)))))),239)</f>
        <v>118</v>
      </c>
      <c r="Q121" s="41" t="str">
        <f t="shared" ca="1" si="85"/>
        <v/>
      </c>
      <c r="R121" s="41" t="str">
        <f t="shared" ca="1" si="57"/>
        <v/>
      </c>
      <c r="S121" s="41" t="str">
        <f t="shared" ca="1" si="58"/>
        <v/>
      </c>
      <c r="T121" s="42" t="str">
        <f t="shared" ca="1" si="83"/>
        <v/>
      </c>
      <c r="U121" s="42" t="str">
        <f t="shared" ca="1" si="84"/>
        <v/>
      </c>
      <c r="V121" s="41">
        <f t="shared" ca="1" si="53"/>
        <v>1</v>
      </c>
      <c r="W121" s="45" t="str">
        <f t="shared" ca="1" si="52"/>
        <v>Appoggio!$A$11:$A$13</v>
      </c>
      <c r="X121" s="46" t="s">
        <v>311</v>
      </c>
      <c r="Y121" s="116"/>
      <c r="Z121" s="109"/>
    </row>
    <row r="122" spans="1:26" ht="14.25" customHeight="1">
      <c r="A122" s="166"/>
      <c r="B122" s="164"/>
      <c r="C122" s="163"/>
      <c r="D122" s="55" t="s">
        <v>18</v>
      </c>
      <c r="E122" s="76" t="s">
        <v>18</v>
      </c>
      <c r="F122" s="106" t="s">
        <v>18</v>
      </c>
      <c r="G122" s="165"/>
      <c r="H122" s="164"/>
      <c r="I122" s="153"/>
      <c r="J122" s="153"/>
      <c r="K122" s="184"/>
      <c r="L122" s="184"/>
      <c r="M122" s="39">
        <v>2</v>
      </c>
      <c r="N122" s="39">
        <f t="shared" si="56"/>
        <v>2</v>
      </c>
      <c r="O122" s="40" t="s">
        <v>21</v>
      </c>
      <c r="P122" s="49" cm="1">
        <f t="array" aca="1" ref="P122" ca="1">IF(F122&lt;&gt;"",SUMPRODUCT(MAX((INDIRECT(ADDRESS(1,COLUMN(K$1),2) &amp;":"&amp; ADDRESS(ROW(),COLUMN(K$1),4))&lt;&gt;"")*(ROW(INDIRECT(ADDRESS(1,COLUMN(K$1),2) &amp;":"&amp; ADDRESS(ROW(),COLUMN(K$1),4)))))),239)</f>
        <v>118</v>
      </c>
      <c r="Q122" s="50" t="str">
        <f t="shared" ca="1" si="85"/>
        <v/>
      </c>
      <c r="R122" s="50" t="str">
        <f t="shared" ca="1" si="57"/>
        <v/>
      </c>
      <c r="S122" s="50" t="str">
        <f t="shared" ca="1" si="58"/>
        <v/>
      </c>
      <c r="T122" s="42" t="str">
        <f t="shared" ca="1" si="83"/>
        <v/>
      </c>
      <c r="U122" s="42" t="str">
        <f t="shared" ca="1" si="84"/>
        <v/>
      </c>
      <c r="V122" s="41">
        <f t="shared" ca="1" si="53"/>
        <v>1</v>
      </c>
      <c r="W122" s="45" t="str">
        <f t="shared" ref="W122:W182" ca="1" si="86">ADDRESS(ROW(INDIRECT(O122)),COLUMN(INDIRECT(O122)),1,1,"Appoggio")&amp;":"&amp;ADDRESS(ROW(INDIRECT(O122))+ROWS(INDIRECT(O122))-1,COLUMN(INDIRECT(O122)),1,1)</f>
        <v>Appoggio!$A$11:$A$13</v>
      </c>
      <c r="X122" s="46" t="s">
        <v>312</v>
      </c>
      <c r="Y122" s="117"/>
      <c r="Z122" s="109"/>
    </row>
    <row r="123" spans="1:26" ht="14.25" customHeight="1">
      <c r="A123" s="166"/>
      <c r="B123" s="164" t="s">
        <v>100</v>
      </c>
      <c r="C123" s="163" t="s">
        <v>315</v>
      </c>
      <c r="D123" s="55" t="s">
        <v>18</v>
      </c>
      <c r="E123" s="76" t="s">
        <v>18</v>
      </c>
      <c r="F123" s="106" t="s">
        <v>18</v>
      </c>
      <c r="G123" s="165" t="str">
        <f>IF(L123&gt;0,"✔","")</f>
        <v>✔</v>
      </c>
      <c r="H123" s="164" t="s">
        <v>101</v>
      </c>
      <c r="I123" s="71" t="s">
        <v>92</v>
      </c>
      <c r="J123" s="71" t="s">
        <v>499</v>
      </c>
      <c r="K123" s="184">
        <v>1</v>
      </c>
      <c r="L123" s="184">
        <f>IF(COUNTA(F123:F126)&lt;&gt;0,K123,0)</f>
        <v>1</v>
      </c>
      <c r="M123" s="60">
        <v>1</v>
      </c>
      <c r="N123" s="60">
        <f t="shared" si="56"/>
        <v>1</v>
      </c>
      <c r="O123" s="61" t="s">
        <v>21</v>
      </c>
      <c r="P123" s="41" cm="1">
        <f t="array" aca="1" ref="P123" ca="1">IF(F123&lt;&gt;"",SUMPRODUCT(MAX((INDIRECT(ADDRESS(1,COLUMN(K$1),2) &amp;":"&amp; ADDRESS(ROW(),COLUMN(K$1),4))&lt;&gt;"")*(ROW(INDIRECT(ADDRESS(1,COLUMN(K$1),2) &amp;":"&amp; ADDRESS(ROW(),COLUMN(K$1),4)))))),239)</f>
        <v>123</v>
      </c>
      <c r="Q123" s="41" t="str">
        <f t="shared" ca="1" si="85"/>
        <v/>
      </c>
      <c r="R123" s="41" t="str">
        <f t="shared" ca="1" si="57"/>
        <v/>
      </c>
      <c r="S123" s="41" t="str">
        <f t="shared" ca="1" si="58"/>
        <v/>
      </c>
      <c r="T123" s="63" t="str">
        <f t="shared" ca="1" si="83"/>
        <v/>
      </c>
      <c r="U123" s="63" t="str">
        <f t="shared" ca="1" si="84"/>
        <v/>
      </c>
      <c r="V123" s="64">
        <f t="shared" ca="1" si="53"/>
        <v>1</v>
      </c>
      <c r="W123" s="43" t="str">
        <f t="shared" ca="1" si="86"/>
        <v>Appoggio!$A$11:$A$13</v>
      </c>
      <c r="X123" s="65" t="s">
        <v>316</v>
      </c>
      <c r="Y123" s="118"/>
      <c r="Z123" s="111"/>
    </row>
    <row r="124" spans="1:26" ht="14.25" customHeight="1">
      <c r="A124" s="166"/>
      <c r="B124" s="164"/>
      <c r="C124" s="163"/>
      <c r="D124" s="55" t="s">
        <v>18</v>
      </c>
      <c r="E124" s="55" t="s">
        <v>18</v>
      </c>
      <c r="F124" s="106" t="s">
        <v>18</v>
      </c>
      <c r="G124" s="165"/>
      <c r="H124" s="164"/>
      <c r="I124" s="66" t="s">
        <v>91</v>
      </c>
      <c r="J124" s="66" t="s">
        <v>501</v>
      </c>
      <c r="K124" s="184"/>
      <c r="L124" s="184"/>
      <c r="M124" s="39">
        <v>3</v>
      </c>
      <c r="N124" s="39">
        <f t="shared" si="56"/>
        <v>3</v>
      </c>
      <c r="O124" s="40" t="s">
        <v>21</v>
      </c>
      <c r="P124" s="41" cm="1">
        <f t="array" aca="1" ref="P124" ca="1">IF(F124&lt;&gt;"",SUMPRODUCT(MAX((INDIRECT(ADDRESS(1,COLUMN(K$1),2) &amp;":"&amp; ADDRESS(ROW(),COLUMN(K$1),4))&lt;&gt;"")*(ROW(INDIRECT(ADDRESS(1,COLUMN(K$1),2) &amp;":"&amp; ADDRESS(ROW(),COLUMN(K$1),4)))))),239)</f>
        <v>123</v>
      </c>
      <c r="Q124" s="41" t="str">
        <f t="shared" ca="1" si="85"/>
        <v/>
      </c>
      <c r="R124" s="41" t="str">
        <f t="shared" ca="1" si="57"/>
        <v/>
      </c>
      <c r="S124" s="41" t="str">
        <f t="shared" ca="1" si="58"/>
        <v/>
      </c>
      <c r="T124" s="42" t="str">
        <f t="shared" ca="1" si="83"/>
        <v/>
      </c>
      <c r="U124" s="42" t="str">
        <f t="shared" ca="1" si="84"/>
        <v/>
      </c>
      <c r="V124" s="41">
        <f t="shared" ca="1" si="53"/>
        <v>1</v>
      </c>
      <c r="W124" s="45" t="str">
        <f t="shared" ca="1" si="86"/>
        <v>Appoggio!$A$11:$A$13</v>
      </c>
      <c r="X124" s="46" t="s">
        <v>317</v>
      </c>
      <c r="Y124" s="116"/>
      <c r="Z124" s="109"/>
    </row>
    <row r="125" spans="1:26" ht="14.25" customHeight="1">
      <c r="A125" s="166"/>
      <c r="B125" s="164"/>
      <c r="C125" s="163"/>
      <c r="D125" s="55" t="s">
        <v>18</v>
      </c>
      <c r="E125" s="55" t="s">
        <v>18</v>
      </c>
      <c r="F125" s="106" t="s">
        <v>18</v>
      </c>
      <c r="G125" s="165"/>
      <c r="H125" s="164"/>
      <c r="I125" s="158" t="s">
        <v>29</v>
      </c>
      <c r="J125" s="158" t="s">
        <v>481</v>
      </c>
      <c r="K125" s="184"/>
      <c r="L125" s="184"/>
      <c r="M125" s="39">
        <v>3</v>
      </c>
      <c r="N125" s="39">
        <f t="shared" si="56"/>
        <v>3</v>
      </c>
      <c r="O125" s="40" t="s">
        <v>21</v>
      </c>
      <c r="P125" s="41" cm="1">
        <f t="array" aca="1" ref="P125" ca="1">IF(F125&lt;&gt;"",SUMPRODUCT(MAX((INDIRECT(ADDRESS(1,COLUMN(K$1),2) &amp;":"&amp; ADDRESS(ROW(),COLUMN(K$1),4))&lt;&gt;"")*(ROW(INDIRECT(ADDRESS(1,COLUMN(K$1),2) &amp;":"&amp; ADDRESS(ROW(),COLUMN(K$1),4)))))),239)</f>
        <v>123</v>
      </c>
      <c r="Q125" s="41" t="str">
        <f t="shared" ca="1" si="85"/>
        <v/>
      </c>
      <c r="R125" s="41" t="str">
        <f t="shared" ca="1" si="57"/>
        <v/>
      </c>
      <c r="S125" s="41" t="str">
        <f t="shared" ca="1" si="58"/>
        <v/>
      </c>
      <c r="T125" s="42" t="str">
        <f t="shared" ca="1" si="83"/>
        <v/>
      </c>
      <c r="U125" s="42" t="str">
        <f t="shared" ca="1" si="84"/>
        <v/>
      </c>
      <c r="V125" s="41">
        <f t="shared" ca="1" si="53"/>
        <v>1</v>
      </c>
      <c r="W125" s="45" t="str">
        <f t="shared" ca="1" si="86"/>
        <v>Appoggio!$A$11:$A$13</v>
      </c>
      <c r="X125" s="46" t="s">
        <v>319</v>
      </c>
      <c r="Y125" s="116"/>
      <c r="Z125" s="109"/>
    </row>
    <row r="126" spans="1:26" ht="14.25" customHeight="1">
      <c r="A126" s="166"/>
      <c r="B126" s="164"/>
      <c r="C126" s="163"/>
      <c r="D126" s="55" t="s">
        <v>18</v>
      </c>
      <c r="E126" s="55" t="s">
        <v>18</v>
      </c>
      <c r="F126" s="106" t="s">
        <v>18</v>
      </c>
      <c r="G126" s="165"/>
      <c r="H126" s="164"/>
      <c r="I126" s="158"/>
      <c r="J126" s="158"/>
      <c r="K126" s="184"/>
      <c r="L126" s="184"/>
      <c r="M126" s="47">
        <v>2</v>
      </c>
      <c r="N126" s="47">
        <f t="shared" si="56"/>
        <v>2</v>
      </c>
      <c r="O126" s="48" t="s">
        <v>21</v>
      </c>
      <c r="P126" s="49" cm="1">
        <f t="array" aca="1" ref="P126" ca="1">IF(F126&lt;&gt;"",SUMPRODUCT(MAX((INDIRECT(ADDRESS(1,COLUMN(K$1),2) &amp;":"&amp; ADDRESS(ROW(),COLUMN(K$1),4))&lt;&gt;"")*(ROW(INDIRECT(ADDRESS(1,COLUMN(K$1),2) &amp;":"&amp; ADDRESS(ROW(),COLUMN(K$1),4)))))),239)</f>
        <v>123</v>
      </c>
      <c r="Q126" s="50" t="str">
        <f t="shared" ca="1" si="85"/>
        <v/>
      </c>
      <c r="R126" s="50" t="str">
        <f t="shared" ca="1" si="57"/>
        <v/>
      </c>
      <c r="S126" s="50" t="str">
        <f t="shared" ca="1" si="58"/>
        <v/>
      </c>
      <c r="T126" s="51" t="str">
        <f t="shared" ca="1" si="83"/>
        <v/>
      </c>
      <c r="U126" s="51" t="str">
        <f t="shared" ca="1" si="84"/>
        <v/>
      </c>
      <c r="V126" s="50">
        <f t="shared" ca="1" si="53"/>
        <v>1</v>
      </c>
      <c r="W126" s="70" t="str">
        <f t="shared" ca="1" si="86"/>
        <v>Appoggio!$A$11:$A$13</v>
      </c>
      <c r="X126" s="52" t="s">
        <v>318</v>
      </c>
      <c r="Y126" s="117"/>
      <c r="Z126" s="110"/>
    </row>
    <row r="127" spans="1:26" ht="56">
      <c r="A127" s="166"/>
      <c r="B127" s="164" t="s">
        <v>102</v>
      </c>
      <c r="C127" s="163" t="s">
        <v>320</v>
      </c>
      <c r="D127" s="55" t="s">
        <v>18</v>
      </c>
      <c r="E127" s="55" t="s">
        <v>18</v>
      </c>
      <c r="F127" s="106" t="s">
        <v>18</v>
      </c>
      <c r="G127" s="202" t="str">
        <f>IF(L127&gt;0,"✔","")</f>
        <v>✔</v>
      </c>
      <c r="H127" s="164" t="s">
        <v>103</v>
      </c>
      <c r="I127" s="73" t="s">
        <v>104</v>
      </c>
      <c r="J127" s="73" t="s">
        <v>560</v>
      </c>
      <c r="K127" s="185">
        <v>2</v>
      </c>
      <c r="L127" s="185">
        <f>IF(COUNTA(F127:F133)&lt;&gt;0,K127,0)</f>
        <v>2</v>
      </c>
      <c r="M127" s="60">
        <v>3</v>
      </c>
      <c r="N127" s="60">
        <f t="shared" si="56"/>
        <v>3</v>
      </c>
      <c r="O127" s="61" t="s">
        <v>21</v>
      </c>
      <c r="P127" s="41" cm="1">
        <f t="array" aca="1" ref="P127" ca="1">IF(F127&lt;&gt;"",SUMPRODUCT(MAX((INDIRECT(ADDRESS(1,COLUMN(K$1),2) &amp;":"&amp; ADDRESS(ROW(),COLUMN(K$1),4))&lt;&gt;"")*(ROW(INDIRECT(ADDRESS(1,COLUMN(K$1),2) &amp;":"&amp; ADDRESS(ROW(),COLUMN(K$1),4)))))),239)</f>
        <v>127</v>
      </c>
      <c r="Q127" s="41" t="str">
        <f t="shared" ca="1" si="85"/>
        <v/>
      </c>
      <c r="R127" s="41" t="str">
        <f t="shared" ca="1" si="57"/>
        <v/>
      </c>
      <c r="S127" s="41" t="str">
        <f t="shared" ca="1" si="58"/>
        <v/>
      </c>
      <c r="T127" s="63" t="str">
        <f t="shared" ca="1" si="83"/>
        <v/>
      </c>
      <c r="U127" s="63" t="str">
        <f t="shared" ca="1" si="84"/>
        <v/>
      </c>
      <c r="V127" s="64">
        <f t="shared" ca="1" si="53"/>
        <v>2</v>
      </c>
      <c r="W127" s="43" t="str">
        <f t="shared" ca="1" si="86"/>
        <v>Appoggio!$A$11:$A$13</v>
      </c>
      <c r="X127" s="65" t="s">
        <v>559</v>
      </c>
      <c r="Y127" s="118"/>
      <c r="Z127" s="111"/>
    </row>
    <row r="128" spans="1:26" ht="21">
      <c r="A128" s="166"/>
      <c r="B128" s="164"/>
      <c r="C128" s="163"/>
      <c r="D128" s="55" t="s">
        <v>18</v>
      </c>
      <c r="E128" s="55" t="s">
        <v>18</v>
      </c>
      <c r="F128" s="106" t="s">
        <v>18</v>
      </c>
      <c r="G128" s="202"/>
      <c r="H128" s="164"/>
      <c r="I128" s="66" t="s">
        <v>105</v>
      </c>
      <c r="J128" s="75" t="s">
        <v>511</v>
      </c>
      <c r="K128" s="185"/>
      <c r="L128" s="185"/>
      <c r="M128" s="39">
        <v>2</v>
      </c>
      <c r="N128" s="39">
        <f t="shared" si="56"/>
        <v>2</v>
      </c>
      <c r="O128" s="40" t="s">
        <v>21</v>
      </c>
      <c r="P128" s="41" cm="1">
        <f t="array" aca="1" ref="P128" ca="1">IF(F128&lt;&gt;"",SUMPRODUCT(MAX((INDIRECT(ADDRESS(1,COLUMN(K$1),2) &amp;":"&amp; ADDRESS(ROW(),COLUMN(K$1),4))&lt;&gt;"")*(ROW(INDIRECT(ADDRESS(1,COLUMN(K$1),2) &amp;":"&amp; ADDRESS(ROW(),COLUMN(K$1),4)))))),239)</f>
        <v>127</v>
      </c>
      <c r="Q128" s="41" t="str">
        <f t="shared" ca="1" si="85"/>
        <v/>
      </c>
      <c r="R128" s="41" t="str">
        <f t="shared" ca="1" si="57"/>
        <v/>
      </c>
      <c r="S128" s="41" t="str">
        <f t="shared" ca="1" si="58"/>
        <v/>
      </c>
      <c r="T128" s="42" t="str">
        <f t="shared" ca="1" si="83"/>
        <v/>
      </c>
      <c r="U128" s="42" t="str">
        <f t="shared" ca="1" si="84"/>
        <v/>
      </c>
      <c r="V128" s="41">
        <f t="shared" ca="1" si="53"/>
        <v>2</v>
      </c>
      <c r="W128" s="45" t="str">
        <f t="shared" ca="1" si="86"/>
        <v>Appoggio!$A$11:$A$13</v>
      </c>
      <c r="X128" s="46" t="s">
        <v>321</v>
      </c>
      <c r="Y128" s="116"/>
      <c r="Z128" s="109"/>
    </row>
    <row r="129" spans="1:26" ht="14.25" customHeight="1">
      <c r="A129" s="166"/>
      <c r="B129" s="164"/>
      <c r="C129" s="163"/>
      <c r="D129" s="55" t="s">
        <v>18</v>
      </c>
      <c r="E129" s="55" t="s">
        <v>18</v>
      </c>
      <c r="F129" s="106" t="s">
        <v>18</v>
      </c>
      <c r="G129" s="202"/>
      <c r="H129" s="164"/>
      <c r="I129" s="66"/>
      <c r="J129" s="66"/>
      <c r="K129" s="185"/>
      <c r="L129" s="185"/>
      <c r="M129" s="39">
        <v>2</v>
      </c>
      <c r="N129" s="39">
        <f t="shared" si="56"/>
        <v>2</v>
      </c>
      <c r="O129" s="40" t="s">
        <v>21</v>
      </c>
      <c r="P129" s="41" cm="1">
        <f t="array" aca="1" ref="P129" ca="1">IF(F129&lt;&gt;"",SUMPRODUCT(MAX((INDIRECT(ADDRESS(1,COLUMN(K$1),2) &amp;":"&amp; ADDRESS(ROW(),COLUMN(K$1),4))&lt;&gt;"")*(ROW(INDIRECT(ADDRESS(1,COLUMN(K$1),2) &amp;":"&amp; ADDRESS(ROW(),COLUMN(K$1),4)))))),239)</f>
        <v>127</v>
      </c>
      <c r="Q129" s="41" t="str">
        <f t="shared" ca="1" si="85"/>
        <v/>
      </c>
      <c r="R129" s="41" t="str">
        <f t="shared" ca="1" si="57"/>
        <v/>
      </c>
      <c r="S129" s="41" t="str">
        <f t="shared" ca="1" si="58"/>
        <v/>
      </c>
      <c r="T129" s="42" t="str">
        <f t="shared" ca="1" si="83"/>
        <v/>
      </c>
      <c r="U129" s="42" t="str">
        <f t="shared" ca="1" si="84"/>
        <v/>
      </c>
      <c r="V129" s="41">
        <f t="shared" ca="1" si="53"/>
        <v>2</v>
      </c>
      <c r="W129" s="45" t="str">
        <f t="shared" ca="1" si="86"/>
        <v>Appoggio!$A$11:$A$13</v>
      </c>
      <c r="X129" s="46" t="s">
        <v>322</v>
      </c>
      <c r="Y129" s="116"/>
      <c r="Z129" s="109"/>
    </row>
    <row r="130" spans="1:26" ht="14.25" customHeight="1">
      <c r="A130" s="166"/>
      <c r="B130" s="164"/>
      <c r="C130" s="163"/>
      <c r="D130" s="55" t="s">
        <v>18</v>
      </c>
      <c r="E130" s="55" t="s">
        <v>18</v>
      </c>
      <c r="F130" s="106" t="s">
        <v>18</v>
      </c>
      <c r="G130" s="202"/>
      <c r="H130" s="164"/>
      <c r="I130" s="66"/>
      <c r="J130" s="66"/>
      <c r="K130" s="185"/>
      <c r="L130" s="185"/>
      <c r="M130" s="39">
        <v>3</v>
      </c>
      <c r="N130" s="39">
        <f t="shared" si="56"/>
        <v>3</v>
      </c>
      <c r="O130" s="40" t="s">
        <v>21</v>
      </c>
      <c r="P130" s="41" cm="1">
        <f t="array" aca="1" ref="P130" ca="1">IF(F130&lt;&gt;"",SUMPRODUCT(MAX((INDIRECT(ADDRESS(1,COLUMN(K$1),2) &amp;":"&amp; ADDRESS(ROW(),COLUMN(K$1),4))&lt;&gt;"")*(ROW(INDIRECT(ADDRESS(1,COLUMN(K$1),2) &amp;":"&amp; ADDRESS(ROW(),COLUMN(K$1),4)))))),239)</f>
        <v>127</v>
      </c>
      <c r="Q130" s="41" t="str">
        <f t="shared" ca="1" si="85"/>
        <v/>
      </c>
      <c r="R130" s="41" t="str">
        <f t="shared" ca="1" si="57"/>
        <v/>
      </c>
      <c r="S130" s="41" t="str">
        <f t="shared" ca="1" si="58"/>
        <v/>
      </c>
      <c r="T130" s="42" t="str">
        <f t="shared" ca="1" si="83"/>
        <v/>
      </c>
      <c r="U130" s="42" t="str">
        <f t="shared" ca="1" si="84"/>
        <v/>
      </c>
      <c r="V130" s="41">
        <f t="shared" ca="1" si="53"/>
        <v>2</v>
      </c>
      <c r="W130" s="45" t="str">
        <f t="shared" ca="1" si="86"/>
        <v>Appoggio!$A$11:$A$13</v>
      </c>
      <c r="X130" s="46" t="s">
        <v>323</v>
      </c>
      <c r="Y130" s="116"/>
      <c r="Z130" s="109"/>
    </row>
    <row r="131" spans="1:26" ht="14.25" customHeight="1">
      <c r="A131" s="166"/>
      <c r="B131" s="164"/>
      <c r="C131" s="163"/>
      <c r="D131" s="55" t="s">
        <v>18</v>
      </c>
      <c r="E131" s="55" t="s">
        <v>18</v>
      </c>
      <c r="F131" s="106" t="s">
        <v>18</v>
      </c>
      <c r="G131" s="202"/>
      <c r="H131" s="164"/>
      <c r="I131" s="66"/>
      <c r="J131" s="66"/>
      <c r="K131" s="185"/>
      <c r="L131" s="185"/>
      <c r="M131" s="39">
        <v>2</v>
      </c>
      <c r="N131" s="39">
        <f t="shared" si="56"/>
        <v>2</v>
      </c>
      <c r="O131" s="40" t="s">
        <v>21</v>
      </c>
      <c r="P131" s="41" cm="1">
        <f t="array" aca="1" ref="P131" ca="1">IF(F131&lt;&gt;"",SUMPRODUCT(MAX((INDIRECT(ADDRESS(1,COLUMN(K$1),2) &amp;":"&amp; ADDRESS(ROW(),COLUMN(K$1),4))&lt;&gt;"")*(ROW(INDIRECT(ADDRESS(1,COLUMN(K$1),2) &amp;":"&amp; ADDRESS(ROW(),COLUMN(K$1),4)))))),239)</f>
        <v>127</v>
      </c>
      <c r="Q131" s="41" t="str">
        <f t="shared" ca="1" si="85"/>
        <v/>
      </c>
      <c r="R131" s="41" t="str">
        <f t="shared" ca="1" si="57"/>
        <v/>
      </c>
      <c r="S131" s="41" t="str">
        <f t="shared" ca="1" si="58"/>
        <v/>
      </c>
      <c r="T131" s="42" t="str">
        <f t="shared" ca="1" si="83"/>
        <v/>
      </c>
      <c r="U131" s="42" t="str">
        <f t="shared" ca="1" si="84"/>
        <v/>
      </c>
      <c r="V131" s="41">
        <f t="shared" ref="V131:V193" ca="1" si="87">IFERROR(INDEX(K:K,P131),0)</f>
        <v>2</v>
      </c>
      <c r="W131" s="45" t="str">
        <f t="shared" ca="1" si="86"/>
        <v>Appoggio!$A$11:$A$13</v>
      </c>
      <c r="X131" s="46" t="s">
        <v>324</v>
      </c>
      <c r="Y131" s="116"/>
      <c r="Z131" s="109"/>
    </row>
    <row r="132" spans="1:26" ht="14.25" customHeight="1">
      <c r="A132" s="166"/>
      <c r="B132" s="164"/>
      <c r="C132" s="163"/>
      <c r="D132" s="55" t="s">
        <v>18</v>
      </c>
      <c r="E132" s="55" t="s">
        <v>18</v>
      </c>
      <c r="F132" s="106" t="s">
        <v>18</v>
      </c>
      <c r="G132" s="202"/>
      <c r="H132" s="164"/>
      <c r="I132" s="66"/>
      <c r="J132" s="137" t="s">
        <v>562</v>
      </c>
      <c r="K132" s="185"/>
      <c r="L132" s="185"/>
      <c r="M132" s="127">
        <v>1</v>
      </c>
      <c r="N132" s="39">
        <f t="shared" ref="N132" si="88">IF(F132&lt;&gt;"",M132,0)</f>
        <v>1</v>
      </c>
      <c r="O132" s="128" t="s">
        <v>21</v>
      </c>
      <c r="P132" s="41" cm="1">
        <f t="array" aca="1" ref="P132" ca="1">IF(F132&lt;&gt;"",SUMPRODUCT(MAX((INDIRECT(ADDRESS(1,COLUMN(K$1),2) &amp;":"&amp; ADDRESS(ROW(),COLUMN(K$1),4))&lt;&gt;"")*(ROW(INDIRECT(ADDRESS(1,COLUMN(K$1),2) &amp;":"&amp; ADDRESS(ROW(),COLUMN(K$1),4)))))),239)</f>
        <v>127</v>
      </c>
      <c r="Q132" s="41" t="str">
        <f t="shared" ref="Q132" ca="1" si="89">IF(Y132&lt;&gt;"",VLOOKUP(Y132,INDIRECT(O132),2,0),"")</f>
        <v/>
      </c>
      <c r="R132" s="41" t="str">
        <f t="shared" ref="R132" ca="1" si="90">IF(Q132&lt;&gt;"",IF(F132&lt;&gt;"",Q132*M132,0),"")</f>
        <v/>
      </c>
      <c r="S132" s="41" t="str">
        <f t="shared" ref="S132" ca="1" si="91">IF(R132&lt;&gt;"",IF(R132&lt;&gt;0,R132*INDIRECT(ADDRESS(P132,COLUMN(K$1),4,)),0),"")</f>
        <v/>
      </c>
      <c r="T132" s="42" t="str">
        <f t="shared" ref="T132" ca="1" si="92">IF(R132&lt;&gt;"",R132/SUMIFS(M$3:M$253,P$3:P$253,P132),"")</f>
        <v/>
      </c>
      <c r="U132" s="42" t="str">
        <f t="shared" ref="U132" ca="1" si="93">IF(R132&lt;&gt;"",SUMIFS(T$3:T$253,P$3:P$253,P132),"")</f>
        <v/>
      </c>
      <c r="V132" s="41">
        <f t="shared" ca="1" si="87"/>
        <v>2</v>
      </c>
      <c r="W132" s="45" t="str">
        <f t="shared" ref="W132" ca="1" si="94">ADDRESS(ROW(INDIRECT(O132)),COLUMN(INDIRECT(O132)),1,1,"Appoggio")&amp;":"&amp;ADDRESS(ROW(INDIRECT(O132))+ROWS(INDIRECT(O132))-1,COLUMN(INDIRECT(O132)),1,1)</f>
        <v>Appoggio!$A$11:$A$13</v>
      </c>
      <c r="X132" s="138" t="s">
        <v>561</v>
      </c>
      <c r="Y132" s="133"/>
      <c r="Z132" s="113"/>
    </row>
    <row r="133" spans="1:26" ht="14.25" customHeight="1">
      <c r="A133" s="166"/>
      <c r="B133" s="164"/>
      <c r="C133" s="163"/>
      <c r="D133" s="55" t="s">
        <v>18</v>
      </c>
      <c r="E133" s="55" t="s">
        <v>18</v>
      </c>
      <c r="F133" s="106" t="s">
        <v>18</v>
      </c>
      <c r="G133" s="202"/>
      <c r="H133" s="164"/>
      <c r="I133" s="38"/>
      <c r="J133" s="38"/>
      <c r="K133" s="185"/>
      <c r="L133" s="185"/>
      <c r="M133" s="47">
        <v>2</v>
      </c>
      <c r="N133" s="47">
        <f t="shared" si="56"/>
        <v>2</v>
      </c>
      <c r="O133" s="48" t="s">
        <v>21</v>
      </c>
      <c r="P133" s="49" cm="1">
        <f t="array" aca="1" ref="P133" ca="1">IF(F133&lt;&gt;"",SUMPRODUCT(MAX((INDIRECT(ADDRESS(1,COLUMN(K$1),2) &amp;":"&amp; ADDRESS(ROW(),COLUMN(K$1),4))&lt;&gt;"")*(ROW(INDIRECT(ADDRESS(1,COLUMN(K$1),2) &amp;":"&amp; ADDRESS(ROW(),COLUMN(K$1),4)))))),239)</f>
        <v>127</v>
      </c>
      <c r="Q133" s="50" t="str">
        <f t="shared" ca="1" si="85"/>
        <v/>
      </c>
      <c r="R133" s="50" t="str">
        <f t="shared" ca="1" si="57"/>
        <v/>
      </c>
      <c r="S133" s="50" t="str">
        <f t="shared" ca="1" si="58"/>
        <v/>
      </c>
      <c r="T133" s="51" t="str">
        <f t="shared" ref="T133:T164" ca="1" si="95">IF(R133&lt;&gt;"",R133/SUMIFS(M$3:M$253,P$3:P$253,P133),"")</f>
        <v/>
      </c>
      <c r="U133" s="51" t="str">
        <f t="shared" ref="U133:U164" ca="1" si="96">IF(R133&lt;&gt;"",SUMIFS(T$3:T$253,P$3:P$253,P133),"")</f>
        <v/>
      </c>
      <c r="V133" s="50">
        <f t="shared" ca="1" si="87"/>
        <v>2</v>
      </c>
      <c r="W133" s="70" t="str">
        <f t="shared" ca="1" si="86"/>
        <v>Appoggio!$A$11:$A$13</v>
      </c>
      <c r="X133" s="52" t="s">
        <v>325</v>
      </c>
      <c r="Y133" s="117"/>
      <c r="Z133" s="110"/>
    </row>
    <row r="134" spans="1:26" ht="14.25" customHeight="1">
      <c r="A134" s="166"/>
      <c r="B134" s="162" t="s">
        <v>106</v>
      </c>
      <c r="C134" s="163" t="s">
        <v>326</v>
      </c>
      <c r="D134" s="55" t="s">
        <v>18</v>
      </c>
      <c r="E134" s="55" t="s">
        <v>18</v>
      </c>
      <c r="F134" s="106" t="s">
        <v>18</v>
      </c>
      <c r="G134" s="202" t="str">
        <f>IF(L134&gt;0,"✔","")</f>
        <v>✔</v>
      </c>
      <c r="H134" s="162" t="s">
        <v>107</v>
      </c>
      <c r="I134" s="152" t="s">
        <v>108</v>
      </c>
      <c r="J134" s="152" t="s">
        <v>510</v>
      </c>
      <c r="K134" s="185">
        <v>2</v>
      </c>
      <c r="L134" s="185">
        <f>IF(COUNTA(F134:F139)&lt;&gt;0,K134,0)</f>
        <v>2</v>
      </c>
      <c r="M134" s="60">
        <v>2</v>
      </c>
      <c r="N134" s="60">
        <f t="shared" si="56"/>
        <v>2</v>
      </c>
      <c r="O134" s="61" t="s">
        <v>21</v>
      </c>
      <c r="P134" s="41" cm="1">
        <f t="array" aca="1" ref="P134" ca="1">IF(F134&lt;&gt;"",SUMPRODUCT(MAX((INDIRECT(ADDRESS(1,COLUMN(K$1),2) &amp;":"&amp; ADDRESS(ROW(),COLUMN(K$1),4))&lt;&gt;"")*(ROW(INDIRECT(ADDRESS(1,COLUMN(K$1),2) &amp;":"&amp; ADDRESS(ROW(),COLUMN(K$1),4)))))),239)</f>
        <v>134</v>
      </c>
      <c r="Q134" s="41" t="str">
        <f t="shared" ca="1" si="85"/>
        <v/>
      </c>
      <c r="R134" s="41" t="str">
        <f t="shared" ca="1" si="57"/>
        <v/>
      </c>
      <c r="S134" s="41" t="str">
        <f t="shared" ca="1" si="58"/>
        <v/>
      </c>
      <c r="T134" s="63" t="str">
        <f t="shared" ca="1" si="95"/>
        <v/>
      </c>
      <c r="U134" s="63" t="str">
        <f t="shared" ca="1" si="96"/>
        <v/>
      </c>
      <c r="V134" s="64">
        <f t="shared" ca="1" si="87"/>
        <v>2</v>
      </c>
      <c r="W134" s="43" t="str">
        <f t="shared" ca="1" si="86"/>
        <v>Appoggio!$A$11:$A$13</v>
      </c>
      <c r="X134" s="65" t="s">
        <v>327</v>
      </c>
      <c r="Y134" s="118"/>
      <c r="Z134" s="111"/>
    </row>
    <row r="135" spans="1:26" ht="14.25" customHeight="1">
      <c r="A135" s="166"/>
      <c r="B135" s="162"/>
      <c r="C135" s="163"/>
      <c r="D135" s="55" t="s">
        <v>18</v>
      </c>
      <c r="E135" s="55" t="s">
        <v>18</v>
      </c>
      <c r="F135" s="106" t="s">
        <v>18</v>
      </c>
      <c r="G135" s="202"/>
      <c r="H135" s="162"/>
      <c r="I135" s="152"/>
      <c r="J135" s="152"/>
      <c r="K135" s="185"/>
      <c r="L135" s="185"/>
      <c r="M135" s="39">
        <v>3</v>
      </c>
      <c r="N135" s="39">
        <f t="shared" si="56"/>
        <v>3</v>
      </c>
      <c r="O135" s="40" t="s">
        <v>21</v>
      </c>
      <c r="P135" s="41" cm="1">
        <f t="array" aca="1" ref="P135" ca="1">IF(F135&lt;&gt;"",SUMPRODUCT(MAX((INDIRECT(ADDRESS(1,COLUMN(K$1),2) &amp;":"&amp; ADDRESS(ROW(),COLUMN(K$1),4))&lt;&gt;"")*(ROW(INDIRECT(ADDRESS(1,COLUMN(K$1),2) &amp;":"&amp; ADDRESS(ROW(),COLUMN(K$1),4)))))),239)</f>
        <v>134</v>
      </c>
      <c r="Q135" s="41" t="str">
        <f t="shared" ca="1" si="85"/>
        <v/>
      </c>
      <c r="R135" s="41" t="str">
        <f t="shared" ca="1" si="57"/>
        <v/>
      </c>
      <c r="S135" s="41" t="str">
        <f t="shared" ca="1" si="58"/>
        <v/>
      </c>
      <c r="T135" s="42" t="str">
        <f t="shared" ca="1" si="95"/>
        <v/>
      </c>
      <c r="U135" s="42" t="str">
        <f t="shared" ca="1" si="96"/>
        <v/>
      </c>
      <c r="V135" s="41">
        <f t="shared" ca="1" si="87"/>
        <v>2</v>
      </c>
      <c r="W135" s="45" t="str">
        <f t="shared" ca="1" si="86"/>
        <v>Appoggio!$A$11:$A$13</v>
      </c>
      <c r="X135" s="46" t="s">
        <v>328</v>
      </c>
      <c r="Y135" s="116"/>
      <c r="Z135" s="109"/>
    </row>
    <row r="136" spans="1:26" ht="14.25" customHeight="1">
      <c r="A136" s="166"/>
      <c r="B136" s="162"/>
      <c r="C136" s="163"/>
      <c r="D136" s="55" t="s">
        <v>18</v>
      </c>
      <c r="E136" s="55" t="s">
        <v>18</v>
      </c>
      <c r="F136" s="106" t="s">
        <v>18</v>
      </c>
      <c r="G136" s="202"/>
      <c r="H136" s="162"/>
      <c r="I136" s="152"/>
      <c r="J136" s="152"/>
      <c r="K136" s="185"/>
      <c r="L136" s="185"/>
      <c r="M136" s="39">
        <v>3</v>
      </c>
      <c r="N136" s="39">
        <f t="shared" si="56"/>
        <v>3</v>
      </c>
      <c r="O136" s="40" t="s">
        <v>21</v>
      </c>
      <c r="P136" s="41" cm="1">
        <f t="array" aca="1" ref="P136" ca="1">IF(F136&lt;&gt;"",SUMPRODUCT(MAX((INDIRECT(ADDRESS(1,COLUMN(K$1),2) &amp;":"&amp; ADDRESS(ROW(),COLUMN(K$1),4))&lt;&gt;"")*(ROW(INDIRECT(ADDRESS(1,COLUMN(K$1),2) &amp;":"&amp; ADDRESS(ROW(),COLUMN(K$1),4)))))),239)</f>
        <v>134</v>
      </c>
      <c r="Q136" s="41" t="str">
        <f t="shared" ca="1" si="85"/>
        <v/>
      </c>
      <c r="R136" s="41" t="str">
        <f t="shared" ca="1" si="57"/>
        <v/>
      </c>
      <c r="S136" s="41" t="str">
        <f t="shared" ca="1" si="58"/>
        <v/>
      </c>
      <c r="T136" s="42" t="str">
        <f t="shared" ca="1" si="95"/>
        <v/>
      </c>
      <c r="U136" s="42" t="str">
        <f t="shared" ca="1" si="96"/>
        <v/>
      </c>
      <c r="V136" s="41">
        <f t="shared" ca="1" si="87"/>
        <v>2</v>
      </c>
      <c r="W136" s="45" t="str">
        <f t="shared" ca="1" si="86"/>
        <v>Appoggio!$A$11:$A$13</v>
      </c>
      <c r="X136" s="46" t="s">
        <v>329</v>
      </c>
      <c r="Y136" s="116"/>
      <c r="Z136" s="109"/>
    </row>
    <row r="137" spans="1:26" ht="14.25" customHeight="1">
      <c r="A137" s="166"/>
      <c r="B137" s="162"/>
      <c r="C137" s="163"/>
      <c r="D137" s="55" t="s">
        <v>18</v>
      </c>
      <c r="E137" s="55" t="s">
        <v>18</v>
      </c>
      <c r="F137" s="106" t="s">
        <v>18</v>
      </c>
      <c r="G137" s="202"/>
      <c r="H137" s="162"/>
      <c r="I137" s="152"/>
      <c r="J137" s="152"/>
      <c r="K137" s="185"/>
      <c r="L137" s="185"/>
      <c r="M137" s="39">
        <v>3</v>
      </c>
      <c r="N137" s="39">
        <f t="shared" si="56"/>
        <v>3</v>
      </c>
      <c r="O137" s="40" t="s">
        <v>21</v>
      </c>
      <c r="P137" s="41" cm="1">
        <f t="array" aca="1" ref="P137" ca="1">IF(F137&lt;&gt;"",SUMPRODUCT(MAX((INDIRECT(ADDRESS(1,COLUMN(K$1),2) &amp;":"&amp; ADDRESS(ROW(),COLUMN(K$1),4))&lt;&gt;"")*(ROW(INDIRECT(ADDRESS(1,COLUMN(K$1),2) &amp;":"&amp; ADDRESS(ROW(),COLUMN(K$1),4)))))),239)</f>
        <v>134</v>
      </c>
      <c r="Q137" s="41" t="str">
        <f t="shared" ca="1" si="85"/>
        <v/>
      </c>
      <c r="R137" s="41" t="str">
        <f t="shared" ca="1" si="57"/>
        <v/>
      </c>
      <c r="S137" s="41" t="str">
        <f t="shared" ca="1" si="58"/>
        <v/>
      </c>
      <c r="T137" s="42" t="str">
        <f t="shared" ca="1" si="95"/>
        <v/>
      </c>
      <c r="U137" s="42" t="str">
        <f t="shared" ca="1" si="96"/>
        <v/>
      </c>
      <c r="V137" s="41">
        <f t="shared" ca="1" si="87"/>
        <v>2</v>
      </c>
      <c r="W137" s="45" t="str">
        <f t="shared" ca="1" si="86"/>
        <v>Appoggio!$A$11:$A$13</v>
      </c>
      <c r="X137" s="46" t="s">
        <v>330</v>
      </c>
      <c r="Y137" s="116"/>
      <c r="Z137" s="109"/>
    </row>
    <row r="138" spans="1:26" ht="14.25" customHeight="1">
      <c r="A138" s="166"/>
      <c r="B138" s="162"/>
      <c r="C138" s="163"/>
      <c r="D138" s="55" t="s">
        <v>18</v>
      </c>
      <c r="E138" s="55" t="s">
        <v>18</v>
      </c>
      <c r="F138" s="106" t="s">
        <v>18</v>
      </c>
      <c r="G138" s="202"/>
      <c r="H138" s="162"/>
      <c r="I138" s="152"/>
      <c r="J138" s="152"/>
      <c r="K138" s="185"/>
      <c r="L138" s="185"/>
      <c r="M138" s="39">
        <v>2</v>
      </c>
      <c r="N138" s="39">
        <f t="shared" si="56"/>
        <v>2</v>
      </c>
      <c r="O138" s="40" t="s">
        <v>21</v>
      </c>
      <c r="P138" s="41" cm="1">
        <f t="array" aca="1" ref="P138" ca="1">IF(F138&lt;&gt;"",SUMPRODUCT(MAX((INDIRECT(ADDRESS(1,COLUMN(K$1),2) &amp;":"&amp; ADDRESS(ROW(),COLUMN(K$1),4))&lt;&gt;"")*(ROW(INDIRECT(ADDRESS(1,COLUMN(K$1),2) &amp;":"&amp; ADDRESS(ROW(),COLUMN(K$1),4)))))),239)</f>
        <v>134</v>
      </c>
      <c r="Q138" s="41" t="str">
        <f t="shared" ca="1" si="85"/>
        <v/>
      </c>
      <c r="R138" s="41" t="str">
        <f t="shared" ca="1" si="57"/>
        <v/>
      </c>
      <c r="S138" s="41" t="str">
        <f t="shared" ca="1" si="58"/>
        <v/>
      </c>
      <c r="T138" s="42" t="str">
        <f t="shared" ca="1" si="95"/>
        <v/>
      </c>
      <c r="U138" s="42" t="str">
        <f t="shared" ca="1" si="96"/>
        <v/>
      </c>
      <c r="V138" s="41">
        <f t="shared" ca="1" si="87"/>
        <v>2</v>
      </c>
      <c r="W138" s="45" t="str">
        <f t="shared" ca="1" si="86"/>
        <v>Appoggio!$A$11:$A$13</v>
      </c>
      <c r="X138" s="46" t="s">
        <v>331</v>
      </c>
      <c r="Y138" s="116"/>
      <c r="Z138" s="109"/>
    </row>
    <row r="139" spans="1:26" ht="14.25" customHeight="1">
      <c r="A139" s="166"/>
      <c r="B139" s="162"/>
      <c r="C139" s="163"/>
      <c r="D139" s="55" t="s">
        <v>18</v>
      </c>
      <c r="E139" s="55" t="s">
        <v>18</v>
      </c>
      <c r="F139" s="106" t="s">
        <v>18</v>
      </c>
      <c r="G139" s="202"/>
      <c r="H139" s="162"/>
      <c r="I139" s="152"/>
      <c r="J139" s="152"/>
      <c r="K139" s="185"/>
      <c r="L139" s="185"/>
      <c r="M139" s="47">
        <v>2</v>
      </c>
      <c r="N139" s="47">
        <f t="shared" si="56"/>
        <v>2</v>
      </c>
      <c r="O139" s="48" t="s">
        <v>21</v>
      </c>
      <c r="P139" s="49" cm="1">
        <f t="array" aca="1" ref="P139" ca="1">IF(F139&lt;&gt;"",SUMPRODUCT(MAX((INDIRECT(ADDRESS(1,COLUMN(K$1),2) &amp;":"&amp; ADDRESS(ROW(),COLUMN(K$1),4))&lt;&gt;"")*(ROW(INDIRECT(ADDRESS(1,COLUMN(K$1),2) &amp;":"&amp; ADDRESS(ROW(),COLUMN(K$1),4)))))),239)</f>
        <v>134</v>
      </c>
      <c r="Q139" s="50" t="str">
        <f t="shared" ca="1" si="85"/>
        <v/>
      </c>
      <c r="R139" s="50" t="str">
        <f t="shared" ca="1" si="57"/>
        <v/>
      </c>
      <c r="S139" s="50" t="str">
        <f t="shared" ca="1" si="58"/>
        <v/>
      </c>
      <c r="T139" s="51" t="str">
        <f t="shared" ca="1" si="95"/>
        <v/>
      </c>
      <c r="U139" s="51" t="str">
        <f t="shared" ca="1" si="96"/>
        <v/>
      </c>
      <c r="V139" s="50">
        <f t="shared" ca="1" si="87"/>
        <v>2</v>
      </c>
      <c r="W139" s="70" t="str">
        <f t="shared" ca="1" si="86"/>
        <v>Appoggio!$A$11:$A$13</v>
      </c>
      <c r="X139" s="52" t="s">
        <v>332</v>
      </c>
      <c r="Y139" s="117"/>
      <c r="Z139" s="110"/>
    </row>
    <row r="140" spans="1:26" ht="14.25" customHeight="1">
      <c r="A140" s="166"/>
      <c r="B140" s="162" t="s">
        <v>109</v>
      </c>
      <c r="C140" s="163" t="s">
        <v>333</v>
      </c>
      <c r="D140" s="55" t="s">
        <v>18</v>
      </c>
      <c r="E140" s="55" t="s">
        <v>18</v>
      </c>
      <c r="F140" s="106" t="s">
        <v>18</v>
      </c>
      <c r="G140" s="165" t="str">
        <f>IF(L140&gt;0,"✔","")</f>
        <v>✔</v>
      </c>
      <c r="H140" s="162" t="s">
        <v>107</v>
      </c>
      <c r="I140" s="153" t="s">
        <v>110</v>
      </c>
      <c r="J140" s="152" t="s">
        <v>510</v>
      </c>
      <c r="K140" s="184">
        <v>1</v>
      </c>
      <c r="L140" s="184">
        <f>IF(COUNTA(F140:F145)&lt;&gt;0,K140,0)</f>
        <v>1</v>
      </c>
      <c r="M140" s="60">
        <v>2</v>
      </c>
      <c r="N140" s="60">
        <f t="shared" si="56"/>
        <v>2</v>
      </c>
      <c r="O140" s="61" t="s">
        <v>21</v>
      </c>
      <c r="P140" s="41" cm="1">
        <f t="array" aca="1" ref="P140" ca="1">IF(F140&lt;&gt;"",SUMPRODUCT(MAX((INDIRECT(ADDRESS(1,COLUMN(K$1),2) &amp;":"&amp; ADDRESS(ROW(),COLUMN(K$1),4))&lt;&gt;"")*(ROW(INDIRECT(ADDRESS(1,COLUMN(K$1),2) &amp;":"&amp; ADDRESS(ROW(),COLUMN(K$1),4)))))),239)</f>
        <v>140</v>
      </c>
      <c r="Q140" s="41" t="str">
        <f t="shared" ca="1" si="85"/>
        <v/>
      </c>
      <c r="R140" s="41" t="str">
        <f t="shared" ca="1" si="57"/>
        <v/>
      </c>
      <c r="S140" s="41" t="str">
        <f t="shared" ca="1" si="58"/>
        <v/>
      </c>
      <c r="T140" s="62" t="str">
        <f t="shared" ca="1" si="95"/>
        <v/>
      </c>
      <c r="U140" s="63" t="str">
        <f t="shared" ca="1" si="96"/>
        <v/>
      </c>
      <c r="V140" s="64">
        <f t="shared" ca="1" si="87"/>
        <v>1</v>
      </c>
      <c r="W140" s="43" t="str">
        <f t="shared" ca="1" si="86"/>
        <v>Appoggio!$A$11:$A$13</v>
      </c>
      <c r="X140" s="65" t="s">
        <v>334</v>
      </c>
      <c r="Y140" s="118"/>
      <c r="Z140" s="111"/>
    </row>
    <row r="141" spans="1:26" ht="14.25" customHeight="1">
      <c r="A141" s="166"/>
      <c r="B141" s="162"/>
      <c r="C141" s="163"/>
      <c r="D141" s="55" t="s">
        <v>18</v>
      </c>
      <c r="E141" s="55" t="s">
        <v>18</v>
      </c>
      <c r="F141" s="106" t="s">
        <v>18</v>
      </c>
      <c r="G141" s="165"/>
      <c r="H141" s="162"/>
      <c r="I141" s="153"/>
      <c r="J141" s="153"/>
      <c r="K141" s="184"/>
      <c r="L141" s="184"/>
      <c r="M141" s="39">
        <v>3</v>
      </c>
      <c r="N141" s="39">
        <f t="shared" ref="N141:N205" si="97">IF(F141&lt;&gt;"",M141,0)</f>
        <v>3</v>
      </c>
      <c r="O141" s="40" t="s">
        <v>21</v>
      </c>
      <c r="P141" s="41" cm="1">
        <f t="array" aca="1" ref="P141" ca="1">IF(F141&lt;&gt;"",SUMPRODUCT(MAX((INDIRECT(ADDRESS(1,COLUMN(K$1),2) &amp;":"&amp; ADDRESS(ROW(),COLUMN(K$1),4))&lt;&gt;"")*(ROW(INDIRECT(ADDRESS(1,COLUMN(K$1),2) &amp;":"&amp; ADDRESS(ROW(),COLUMN(K$1),4)))))),239)</f>
        <v>140</v>
      </c>
      <c r="Q141" s="41" t="str">
        <f t="shared" ca="1" si="85"/>
        <v/>
      </c>
      <c r="R141" s="41" t="str">
        <f t="shared" ref="R141:R205" ca="1" si="98">IF(Q141&lt;&gt;"",IF(F141&lt;&gt;"",Q141*M141,0),"")</f>
        <v/>
      </c>
      <c r="S141" s="41" t="str">
        <f t="shared" ref="S141:S205" ca="1" si="99">IF(R141&lt;&gt;"",IF(R141&lt;&gt;0,R141*INDIRECT(ADDRESS(P141,COLUMN(K$1),4,)),0),"")</f>
        <v/>
      </c>
      <c r="T141" s="42" t="str">
        <f t="shared" ca="1" si="95"/>
        <v/>
      </c>
      <c r="U141" s="42" t="str">
        <f t="shared" ca="1" si="96"/>
        <v/>
      </c>
      <c r="V141" s="41">
        <f t="shared" ca="1" si="87"/>
        <v>1</v>
      </c>
      <c r="W141" s="45" t="str">
        <f t="shared" ca="1" si="86"/>
        <v>Appoggio!$A$11:$A$13</v>
      </c>
      <c r="X141" s="46" t="s">
        <v>335</v>
      </c>
      <c r="Y141" s="116"/>
      <c r="Z141" s="109"/>
    </row>
    <row r="142" spans="1:26" ht="14.25" customHeight="1">
      <c r="A142" s="166"/>
      <c r="B142" s="162"/>
      <c r="C142" s="163"/>
      <c r="D142" s="55" t="s">
        <v>18</v>
      </c>
      <c r="E142" s="55" t="s">
        <v>18</v>
      </c>
      <c r="F142" s="106" t="s">
        <v>18</v>
      </c>
      <c r="G142" s="165"/>
      <c r="H142" s="162"/>
      <c r="I142" s="153"/>
      <c r="J142" s="153"/>
      <c r="K142" s="184"/>
      <c r="L142" s="184"/>
      <c r="M142" s="39">
        <v>3</v>
      </c>
      <c r="N142" s="39">
        <f t="shared" si="97"/>
        <v>3</v>
      </c>
      <c r="O142" s="40" t="s">
        <v>21</v>
      </c>
      <c r="P142" s="41" cm="1">
        <f t="array" aca="1" ref="P142" ca="1">IF(F142&lt;&gt;"",SUMPRODUCT(MAX((INDIRECT(ADDRESS(1,COLUMN(K$1),2) &amp;":"&amp; ADDRESS(ROW(),COLUMN(K$1),4))&lt;&gt;"")*(ROW(INDIRECT(ADDRESS(1,COLUMN(K$1),2) &amp;":"&amp; ADDRESS(ROW(),COLUMN(K$1),4)))))),239)</f>
        <v>140</v>
      </c>
      <c r="Q142" s="41" t="str">
        <f t="shared" ca="1" si="85"/>
        <v/>
      </c>
      <c r="R142" s="41" t="str">
        <f t="shared" ca="1" si="98"/>
        <v/>
      </c>
      <c r="S142" s="41" t="str">
        <f t="shared" ca="1" si="99"/>
        <v/>
      </c>
      <c r="T142" s="42" t="str">
        <f t="shared" ca="1" si="95"/>
        <v/>
      </c>
      <c r="U142" s="42" t="str">
        <f t="shared" ca="1" si="96"/>
        <v/>
      </c>
      <c r="V142" s="41">
        <f t="shared" ca="1" si="87"/>
        <v>1</v>
      </c>
      <c r="W142" s="45" t="str">
        <f t="shared" ca="1" si="86"/>
        <v>Appoggio!$A$11:$A$13</v>
      </c>
      <c r="X142" s="46" t="s">
        <v>329</v>
      </c>
      <c r="Y142" s="116"/>
      <c r="Z142" s="109"/>
    </row>
    <row r="143" spans="1:26" ht="14.25" customHeight="1">
      <c r="A143" s="166"/>
      <c r="B143" s="162"/>
      <c r="C143" s="163"/>
      <c r="D143" s="55" t="s">
        <v>18</v>
      </c>
      <c r="E143" s="55" t="s">
        <v>18</v>
      </c>
      <c r="F143" s="106" t="s">
        <v>18</v>
      </c>
      <c r="G143" s="165"/>
      <c r="H143" s="162"/>
      <c r="I143" s="153"/>
      <c r="J143" s="153"/>
      <c r="K143" s="184"/>
      <c r="L143" s="184"/>
      <c r="M143" s="39">
        <v>3</v>
      </c>
      <c r="N143" s="39">
        <f t="shared" si="97"/>
        <v>3</v>
      </c>
      <c r="O143" s="40" t="s">
        <v>21</v>
      </c>
      <c r="P143" s="41" cm="1">
        <f t="array" aca="1" ref="P143" ca="1">IF(F143&lt;&gt;"",SUMPRODUCT(MAX((INDIRECT(ADDRESS(1,COLUMN(K$1),2) &amp;":"&amp; ADDRESS(ROW(),COLUMN(K$1),4))&lt;&gt;"")*(ROW(INDIRECT(ADDRESS(1,COLUMN(K$1),2) &amp;":"&amp; ADDRESS(ROW(),COLUMN(K$1),4)))))),239)</f>
        <v>140</v>
      </c>
      <c r="Q143" s="41" t="str">
        <f t="shared" ca="1" si="85"/>
        <v/>
      </c>
      <c r="R143" s="41" t="str">
        <f t="shared" ca="1" si="98"/>
        <v/>
      </c>
      <c r="S143" s="41" t="str">
        <f t="shared" ca="1" si="99"/>
        <v/>
      </c>
      <c r="T143" s="42" t="str">
        <f t="shared" ca="1" si="95"/>
        <v/>
      </c>
      <c r="U143" s="42" t="str">
        <f t="shared" ca="1" si="96"/>
        <v/>
      </c>
      <c r="V143" s="41">
        <f t="shared" ca="1" si="87"/>
        <v>1</v>
      </c>
      <c r="W143" s="45" t="str">
        <f t="shared" ca="1" si="86"/>
        <v>Appoggio!$A$11:$A$13</v>
      </c>
      <c r="X143" s="46" t="s">
        <v>330</v>
      </c>
      <c r="Y143" s="116"/>
      <c r="Z143" s="109"/>
    </row>
    <row r="144" spans="1:26" ht="14.25" customHeight="1">
      <c r="A144" s="166"/>
      <c r="B144" s="162"/>
      <c r="C144" s="163"/>
      <c r="D144" s="55" t="s">
        <v>18</v>
      </c>
      <c r="E144" s="55" t="s">
        <v>18</v>
      </c>
      <c r="F144" s="106" t="s">
        <v>18</v>
      </c>
      <c r="G144" s="165"/>
      <c r="H144" s="162"/>
      <c r="I144" s="153"/>
      <c r="J144" s="153"/>
      <c r="K144" s="184"/>
      <c r="L144" s="184"/>
      <c r="M144" s="39">
        <v>2</v>
      </c>
      <c r="N144" s="39">
        <f t="shared" si="97"/>
        <v>2</v>
      </c>
      <c r="O144" s="40" t="s">
        <v>21</v>
      </c>
      <c r="P144" s="41" cm="1">
        <f t="array" aca="1" ref="P144" ca="1">IF(F144&lt;&gt;"",SUMPRODUCT(MAX((INDIRECT(ADDRESS(1,COLUMN(K$1),2) &amp;":"&amp; ADDRESS(ROW(),COLUMN(K$1),4))&lt;&gt;"")*(ROW(INDIRECT(ADDRESS(1,COLUMN(K$1),2) &amp;":"&amp; ADDRESS(ROW(),COLUMN(K$1),4)))))),239)</f>
        <v>140</v>
      </c>
      <c r="Q144" s="41" t="str">
        <f t="shared" ca="1" si="85"/>
        <v/>
      </c>
      <c r="R144" s="41" t="str">
        <f t="shared" ca="1" si="98"/>
        <v/>
      </c>
      <c r="S144" s="41" t="str">
        <f t="shared" ca="1" si="99"/>
        <v/>
      </c>
      <c r="T144" s="42" t="str">
        <f t="shared" ca="1" si="95"/>
        <v/>
      </c>
      <c r="U144" s="42" t="str">
        <f t="shared" ca="1" si="96"/>
        <v/>
      </c>
      <c r="V144" s="41">
        <f t="shared" ca="1" si="87"/>
        <v>1</v>
      </c>
      <c r="W144" s="45" t="str">
        <f t="shared" ca="1" si="86"/>
        <v>Appoggio!$A$11:$A$13</v>
      </c>
      <c r="X144" s="46" t="s">
        <v>331</v>
      </c>
      <c r="Y144" s="116"/>
      <c r="Z144" s="109"/>
    </row>
    <row r="145" spans="1:26" ht="14.25" customHeight="1">
      <c r="A145" s="166"/>
      <c r="B145" s="162"/>
      <c r="C145" s="163"/>
      <c r="D145" s="55" t="s">
        <v>18</v>
      </c>
      <c r="E145" s="55" t="s">
        <v>18</v>
      </c>
      <c r="F145" s="106" t="s">
        <v>18</v>
      </c>
      <c r="G145" s="165"/>
      <c r="H145" s="162"/>
      <c r="I145" s="153"/>
      <c r="J145" s="153"/>
      <c r="K145" s="184"/>
      <c r="L145" s="184"/>
      <c r="M145" s="47">
        <v>2</v>
      </c>
      <c r="N145" s="47">
        <f t="shared" si="97"/>
        <v>2</v>
      </c>
      <c r="O145" s="48" t="s">
        <v>21</v>
      </c>
      <c r="P145" s="49" cm="1">
        <f t="array" aca="1" ref="P145" ca="1">IF(F145&lt;&gt;"",SUMPRODUCT(MAX((INDIRECT(ADDRESS(1,COLUMN(K$1),2) &amp;":"&amp; ADDRESS(ROW(),COLUMN(K$1),4))&lt;&gt;"")*(ROW(INDIRECT(ADDRESS(1,COLUMN(K$1),2) &amp;":"&amp; ADDRESS(ROW(),COLUMN(K$1),4)))))),239)</f>
        <v>140</v>
      </c>
      <c r="Q145" s="50" t="str">
        <f t="shared" ca="1" si="85"/>
        <v/>
      </c>
      <c r="R145" s="50" t="str">
        <f t="shared" ca="1" si="98"/>
        <v/>
      </c>
      <c r="S145" s="50" t="str">
        <f t="shared" ca="1" si="99"/>
        <v/>
      </c>
      <c r="T145" s="51" t="str">
        <f t="shared" ca="1" si="95"/>
        <v/>
      </c>
      <c r="U145" s="51" t="str">
        <f t="shared" ca="1" si="96"/>
        <v/>
      </c>
      <c r="V145" s="50">
        <f t="shared" ca="1" si="87"/>
        <v>1</v>
      </c>
      <c r="W145" s="70" t="str">
        <f t="shared" ca="1" si="86"/>
        <v>Appoggio!$A$11:$A$13</v>
      </c>
      <c r="X145" s="52" t="s">
        <v>332</v>
      </c>
      <c r="Y145" s="117"/>
      <c r="Z145" s="110"/>
    </row>
    <row r="146" spans="1:26" ht="14.25" customHeight="1">
      <c r="A146" s="166"/>
      <c r="B146" s="164" t="s">
        <v>111</v>
      </c>
      <c r="C146" s="163" t="s">
        <v>336</v>
      </c>
      <c r="D146" s="55" t="s">
        <v>18</v>
      </c>
      <c r="E146" s="67"/>
      <c r="F146" s="106" t="s">
        <v>18</v>
      </c>
      <c r="G146" s="165" t="str">
        <f>IF(L146&gt;0,"✔","")</f>
        <v>✔</v>
      </c>
      <c r="H146" s="164" t="s">
        <v>112</v>
      </c>
      <c r="I146" s="153" t="s">
        <v>33</v>
      </c>
      <c r="J146" s="153" t="s">
        <v>485</v>
      </c>
      <c r="K146" s="184">
        <v>2</v>
      </c>
      <c r="L146" s="184">
        <f>IF(COUNTA(F146:F152)&lt;&gt;0,K146,0)</f>
        <v>2</v>
      </c>
      <c r="M146" s="60">
        <v>3</v>
      </c>
      <c r="N146" s="60">
        <f t="shared" si="97"/>
        <v>3</v>
      </c>
      <c r="O146" s="61" t="s">
        <v>21</v>
      </c>
      <c r="P146" s="41" cm="1">
        <f t="array" aca="1" ref="P146" ca="1">IF(F146&lt;&gt;"",SUMPRODUCT(MAX((INDIRECT(ADDRESS(1,COLUMN(K$1),2) &amp;":"&amp; ADDRESS(ROW(),COLUMN(K$1),4))&lt;&gt;"")*(ROW(INDIRECT(ADDRESS(1,COLUMN(K$1),2) &amp;":"&amp; ADDRESS(ROW(),COLUMN(K$1),4)))))),239)</f>
        <v>146</v>
      </c>
      <c r="Q146" s="41" t="str">
        <f t="shared" ca="1" si="85"/>
        <v/>
      </c>
      <c r="R146" s="41" t="str">
        <f t="shared" ca="1" si="98"/>
        <v/>
      </c>
      <c r="S146" s="41" t="str">
        <f t="shared" ca="1" si="99"/>
        <v/>
      </c>
      <c r="T146" s="62" t="str">
        <f t="shared" ca="1" si="95"/>
        <v/>
      </c>
      <c r="U146" s="63" t="str">
        <f t="shared" ca="1" si="96"/>
        <v/>
      </c>
      <c r="V146" s="64">
        <f t="shared" ca="1" si="87"/>
        <v>2</v>
      </c>
      <c r="W146" s="43" t="str">
        <f t="shared" ca="1" si="86"/>
        <v>Appoggio!$A$11:$A$13</v>
      </c>
      <c r="X146" s="65" t="s">
        <v>337</v>
      </c>
      <c r="Y146" s="118"/>
      <c r="Z146" s="111"/>
    </row>
    <row r="147" spans="1:26" ht="14.25" customHeight="1">
      <c r="A147" s="166"/>
      <c r="B147" s="164"/>
      <c r="C147" s="163"/>
      <c r="D147" s="55" t="s">
        <v>18</v>
      </c>
      <c r="E147" s="67"/>
      <c r="F147" s="106" t="s">
        <v>18</v>
      </c>
      <c r="G147" s="165"/>
      <c r="H147" s="164"/>
      <c r="I147" s="153"/>
      <c r="J147" s="153"/>
      <c r="K147" s="184"/>
      <c r="L147" s="184"/>
      <c r="M147" s="39">
        <v>2</v>
      </c>
      <c r="N147" s="39">
        <f t="shared" si="97"/>
        <v>2</v>
      </c>
      <c r="O147" s="40" t="s">
        <v>21</v>
      </c>
      <c r="P147" s="41" cm="1">
        <f t="array" aca="1" ref="P147" ca="1">IF(F147&lt;&gt;"",SUMPRODUCT(MAX((INDIRECT(ADDRESS(1,COLUMN(K$1),2) &amp;":"&amp; ADDRESS(ROW(),COLUMN(K$1),4))&lt;&gt;"")*(ROW(INDIRECT(ADDRESS(1,COLUMN(K$1),2) &amp;":"&amp; ADDRESS(ROW(),COLUMN(K$1),4)))))),239)</f>
        <v>146</v>
      </c>
      <c r="Q147" s="41" t="str">
        <f t="shared" ca="1" si="85"/>
        <v/>
      </c>
      <c r="R147" s="41" t="str">
        <f t="shared" ca="1" si="98"/>
        <v/>
      </c>
      <c r="S147" s="41" t="str">
        <f t="shared" ca="1" si="99"/>
        <v/>
      </c>
      <c r="T147" s="42" t="str">
        <f t="shared" ca="1" si="95"/>
        <v/>
      </c>
      <c r="U147" s="42" t="str">
        <f t="shared" ca="1" si="96"/>
        <v/>
      </c>
      <c r="V147" s="41">
        <f t="shared" ca="1" si="87"/>
        <v>2</v>
      </c>
      <c r="W147" s="45" t="str">
        <f t="shared" ca="1" si="86"/>
        <v>Appoggio!$A$11:$A$13</v>
      </c>
      <c r="X147" s="46" t="s">
        <v>338</v>
      </c>
      <c r="Y147" s="116"/>
      <c r="Z147" s="109"/>
    </row>
    <row r="148" spans="1:26" ht="14.25" customHeight="1">
      <c r="A148" s="166"/>
      <c r="B148" s="164"/>
      <c r="C148" s="163"/>
      <c r="D148" s="55" t="s">
        <v>18</v>
      </c>
      <c r="E148" s="67"/>
      <c r="F148" s="106" t="s">
        <v>18</v>
      </c>
      <c r="G148" s="165"/>
      <c r="H148" s="164"/>
      <c r="I148" s="153"/>
      <c r="J148" s="153"/>
      <c r="K148" s="184"/>
      <c r="L148" s="184"/>
      <c r="M148" s="39">
        <v>2</v>
      </c>
      <c r="N148" s="39">
        <f t="shared" si="97"/>
        <v>2</v>
      </c>
      <c r="O148" s="40" t="s">
        <v>21</v>
      </c>
      <c r="P148" s="41" cm="1">
        <f t="array" aca="1" ref="P148" ca="1">IF(F148&lt;&gt;"",SUMPRODUCT(MAX((INDIRECT(ADDRESS(1,COLUMN(K$1),2) &amp;":"&amp; ADDRESS(ROW(),COLUMN(K$1),4))&lt;&gt;"")*(ROW(INDIRECT(ADDRESS(1,COLUMN(K$1),2) &amp;":"&amp; ADDRESS(ROW(),COLUMN(K$1),4)))))),239)</f>
        <v>146</v>
      </c>
      <c r="Q148" s="41" t="str">
        <f t="shared" ca="1" si="85"/>
        <v/>
      </c>
      <c r="R148" s="41" t="str">
        <f t="shared" ca="1" si="98"/>
        <v/>
      </c>
      <c r="S148" s="41" t="str">
        <f t="shared" ca="1" si="99"/>
        <v/>
      </c>
      <c r="T148" s="42" t="str">
        <f t="shared" ca="1" si="95"/>
        <v/>
      </c>
      <c r="U148" s="42" t="str">
        <f t="shared" ca="1" si="96"/>
        <v/>
      </c>
      <c r="V148" s="41">
        <f t="shared" ca="1" si="87"/>
        <v>2</v>
      </c>
      <c r="W148" s="45" t="str">
        <f t="shared" ca="1" si="86"/>
        <v>Appoggio!$A$11:$A$13</v>
      </c>
      <c r="X148" s="46" t="s">
        <v>339</v>
      </c>
      <c r="Y148" s="116"/>
      <c r="Z148" s="109"/>
    </row>
    <row r="149" spans="1:26" ht="14.25" customHeight="1">
      <c r="A149" s="166"/>
      <c r="B149" s="164"/>
      <c r="C149" s="163"/>
      <c r="D149" s="55" t="s">
        <v>18</v>
      </c>
      <c r="E149" s="67"/>
      <c r="F149" s="106" t="s">
        <v>18</v>
      </c>
      <c r="G149" s="165"/>
      <c r="H149" s="164"/>
      <c r="I149" s="153"/>
      <c r="J149" s="153"/>
      <c r="K149" s="184"/>
      <c r="L149" s="184"/>
      <c r="M149" s="39">
        <v>2</v>
      </c>
      <c r="N149" s="39">
        <f t="shared" si="97"/>
        <v>2</v>
      </c>
      <c r="O149" s="40" t="s">
        <v>21</v>
      </c>
      <c r="P149" s="41" cm="1">
        <f t="array" aca="1" ref="P149" ca="1">IF(F149&lt;&gt;"",SUMPRODUCT(MAX((INDIRECT(ADDRESS(1,COLUMN(K$1),2) &amp;":"&amp; ADDRESS(ROW(),COLUMN(K$1),4))&lt;&gt;"")*(ROW(INDIRECT(ADDRESS(1,COLUMN(K$1),2) &amp;":"&amp; ADDRESS(ROW(),COLUMN(K$1),4)))))),239)</f>
        <v>146</v>
      </c>
      <c r="Q149" s="41" t="str">
        <f t="shared" ca="1" si="85"/>
        <v/>
      </c>
      <c r="R149" s="41" t="str">
        <f t="shared" ca="1" si="98"/>
        <v/>
      </c>
      <c r="S149" s="41" t="str">
        <f t="shared" ca="1" si="99"/>
        <v/>
      </c>
      <c r="T149" s="42" t="str">
        <f t="shared" ca="1" si="95"/>
        <v/>
      </c>
      <c r="U149" s="42" t="str">
        <f t="shared" ca="1" si="96"/>
        <v/>
      </c>
      <c r="V149" s="41">
        <f t="shared" ca="1" si="87"/>
        <v>2</v>
      </c>
      <c r="W149" s="45" t="str">
        <f t="shared" ca="1" si="86"/>
        <v>Appoggio!$A$11:$A$13</v>
      </c>
      <c r="X149" s="46" t="s">
        <v>340</v>
      </c>
      <c r="Y149" s="116"/>
      <c r="Z149" s="109"/>
    </row>
    <row r="150" spans="1:26" ht="14.25" customHeight="1">
      <c r="A150" s="166"/>
      <c r="B150" s="164"/>
      <c r="C150" s="163"/>
      <c r="D150" s="55" t="s">
        <v>18</v>
      </c>
      <c r="E150" s="67"/>
      <c r="F150" s="106" t="s">
        <v>18</v>
      </c>
      <c r="G150" s="165"/>
      <c r="H150" s="164"/>
      <c r="I150" s="153"/>
      <c r="J150" s="153"/>
      <c r="K150" s="184"/>
      <c r="L150" s="184"/>
      <c r="M150" s="39">
        <v>2</v>
      </c>
      <c r="N150" s="39">
        <f t="shared" si="97"/>
        <v>2</v>
      </c>
      <c r="O150" s="40" t="s">
        <v>21</v>
      </c>
      <c r="P150" s="41" cm="1">
        <f t="array" aca="1" ref="P150" ca="1">IF(F150&lt;&gt;"",SUMPRODUCT(MAX((INDIRECT(ADDRESS(1,COLUMN(K$1),2) &amp;":"&amp; ADDRESS(ROW(),COLUMN(K$1),4))&lt;&gt;"")*(ROW(INDIRECT(ADDRESS(1,COLUMN(K$1),2) &amp;":"&amp; ADDRESS(ROW(),COLUMN(K$1),4)))))),239)</f>
        <v>146</v>
      </c>
      <c r="Q150" s="41" t="str">
        <f t="shared" ca="1" si="85"/>
        <v/>
      </c>
      <c r="R150" s="41" t="str">
        <f t="shared" ca="1" si="98"/>
        <v/>
      </c>
      <c r="S150" s="41" t="str">
        <f t="shared" ca="1" si="99"/>
        <v/>
      </c>
      <c r="T150" s="42" t="str">
        <f t="shared" ca="1" si="95"/>
        <v/>
      </c>
      <c r="U150" s="42" t="str">
        <f t="shared" ca="1" si="96"/>
        <v/>
      </c>
      <c r="V150" s="41">
        <f t="shared" ca="1" si="87"/>
        <v>2</v>
      </c>
      <c r="W150" s="45" t="str">
        <f t="shared" ca="1" si="86"/>
        <v>Appoggio!$A$11:$A$13</v>
      </c>
      <c r="X150" s="46" t="s">
        <v>341</v>
      </c>
      <c r="Y150" s="116"/>
      <c r="Z150" s="109"/>
    </row>
    <row r="151" spans="1:26" ht="14.25" customHeight="1">
      <c r="A151" s="166"/>
      <c r="B151" s="164"/>
      <c r="C151" s="163"/>
      <c r="D151" s="55" t="s">
        <v>18</v>
      </c>
      <c r="E151" s="67"/>
      <c r="F151" s="106" t="s">
        <v>18</v>
      </c>
      <c r="G151" s="165"/>
      <c r="H151" s="164"/>
      <c r="I151" s="153"/>
      <c r="J151" s="153"/>
      <c r="K151" s="184"/>
      <c r="L151" s="184"/>
      <c r="M151" s="39">
        <v>2</v>
      </c>
      <c r="N151" s="39">
        <f t="shared" si="97"/>
        <v>2</v>
      </c>
      <c r="O151" s="40" t="s">
        <v>21</v>
      </c>
      <c r="P151" s="41" cm="1">
        <f t="array" aca="1" ref="P151" ca="1">IF(F151&lt;&gt;"",SUMPRODUCT(MAX((INDIRECT(ADDRESS(1,COLUMN(K$1),2) &amp;":"&amp; ADDRESS(ROW(),COLUMN(K$1),4))&lt;&gt;"")*(ROW(INDIRECT(ADDRESS(1,COLUMN(K$1),2) &amp;":"&amp; ADDRESS(ROW(),COLUMN(K$1),4)))))),239)</f>
        <v>146</v>
      </c>
      <c r="Q151" s="41" t="str">
        <f t="shared" ca="1" si="85"/>
        <v/>
      </c>
      <c r="R151" s="41" t="str">
        <f t="shared" ca="1" si="98"/>
        <v/>
      </c>
      <c r="S151" s="41" t="str">
        <f t="shared" ca="1" si="99"/>
        <v/>
      </c>
      <c r="T151" s="42" t="str">
        <f t="shared" ca="1" si="95"/>
        <v/>
      </c>
      <c r="U151" s="42" t="str">
        <f t="shared" ca="1" si="96"/>
        <v/>
      </c>
      <c r="V151" s="41">
        <f t="shared" ca="1" si="87"/>
        <v>2</v>
      </c>
      <c r="W151" s="45" t="str">
        <f t="shared" ca="1" si="86"/>
        <v>Appoggio!$A$11:$A$13</v>
      </c>
      <c r="X151" s="46" t="s">
        <v>342</v>
      </c>
      <c r="Y151" s="116"/>
      <c r="Z151" s="109"/>
    </row>
    <row r="152" spans="1:26" ht="14.25" customHeight="1">
      <c r="A152" s="166"/>
      <c r="B152" s="164"/>
      <c r="C152" s="163"/>
      <c r="D152" s="55" t="s">
        <v>18</v>
      </c>
      <c r="E152" s="67"/>
      <c r="F152" s="106" t="s">
        <v>18</v>
      </c>
      <c r="G152" s="165"/>
      <c r="H152" s="164"/>
      <c r="I152" s="153"/>
      <c r="J152" s="153"/>
      <c r="K152" s="184"/>
      <c r="L152" s="184"/>
      <c r="M152" s="47">
        <v>2</v>
      </c>
      <c r="N152" s="47">
        <f t="shared" si="97"/>
        <v>2</v>
      </c>
      <c r="O152" s="48" t="s">
        <v>21</v>
      </c>
      <c r="P152" s="49" cm="1">
        <f t="array" aca="1" ref="P152" ca="1">IF(F152&lt;&gt;"",SUMPRODUCT(MAX((INDIRECT(ADDRESS(1,COLUMN(K$1),2) &amp;":"&amp; ADDRESS(ROW(),COLUMN(K$1),4))&lt;&gt;"")*(ROW(INDIRECT(ADDRESS(1,COLUMN(K$1),2) &amp;":"&amp; ADDRESS(ROW(),COLUMN(K$1),4)))))),239)</f>
        <v>146</v>
      </c>
      <c r="Q152" s="50" t="str">
        <f t="shared" ca="1" si="85"/>
        <v/>
      </c>
      <c r="R152" s="50" t="str">
        <f t="shared" ca="1" si="98"/>
        <v/>
      </c>
      <c r="S152" s="50" t="str">
        <f t="shared" ca="1" si="99"/>
        <v/>
      </c>
      <c r="T152" s="51" t="str">
        <f t="shared" ca="1" si="95"/>
        <v/>
      </c>
      <c r="U152" s="51" t="str">
        <f t="shared" ca="1" si="96"/>
        <v/>
      </c>
      <c r="V152" s="50">
        <f t="shared" ca="1" si="87"/>
        <v>2</v>
      </c>
      <c r="W152" s="70" t="str">
        <f t="shared" ca="1" si="86"/>
        <v>Appoggio!$A$11:$A$13</v>
      </c>
      <c r="X152" s="52" t="s">
        <v>343</v>
      </c>
      <c r="Y152" s="117"/>
      <c r="Z152" s="110"/>
    </row>
    <row r="153" spans="1:26" ht="14.25" customHeight="1">
      <c r="A153" s="166"/>
      <c r="B153" s="164" t="s">
        <v>113</v>
      </c>
      <c r="C153" s="163" t="s">
        <v>344</v>
      </c>
      <c r="D153" s="55" t="s">
        <v>18</v>
      </c>
      <c r="E153" s="67"/>
      <c r="F153" s="106" t="s">
        <v>18</v>
      </c>
      <c r="G153" s="165" t="str">
        <f>IF(L153&gt;0,"✔","")</f>
        <v>✔</v>
      </c>
      <c r="H153" s="203" t="s">
        <v>114</v>
      </c>
      <c r="I153" s="154" t="s">
        <v>115</v>
      </c>
      <c r="J153" s="154" t="s">
        <v>512</v>
      </c>
      <c r="K153" s="184">
        <v>1</v>
      </c>
      <c r="L153" s="184">
        <f>IF(COUNTA(F153:F157)&lt;&gt;0,K153,0)</f>
        <v>1</v>
      </c>
      <c r="M153" s="60">
        <v>2</v>
      </c>
      <c r="N153" s="60">
        <f t="shared" si="97"/>
        <v>2</v>
      </c>
      <c r="O153" s="61" t="s">
        <v>21</v>
      </c>
      <c r="P153" s="41" cm="1">
        <f t="array" aca="1" ref="P153" ca="1">IF(F153&lt;&gt;"",SUMPRODUCT(MAX((INDIRECT(ADDRESS(1,COLUMN(K$1),2) &amp;":"&amp; ADDRESS(ROW(),COLUMN(K$1),4))&lt;&gt;"")*(ROW(INDIRECT(ADDRESS(1,COLUMN(K$1),2) &amp;":"&amp; ADDRESS(ROW(),COLUMN(K$1),4)))))),239)</f>
        <v>153</v>
      </c>
      <c r="Q153" s="41" t="str">
        <f t="shared" ca="1" si="85"/>
        <v/>
      </c>
      <c r="R153" s="41" t="str">
        <f t="shared" ca="1" si="98"/>
        <v/>
      </c>
      <c r="S153" s="41" t="str">
        <f t="shared" ca="1" si="99"/>
        <v/>
      </c>
      <c r="T153" s="63" t="str">
        <f t="shared" ca="1" si="95"/>
        <v/>
      </c>
      <c r="U153" s="63" t="str">
        <f t="shared" ca="1" si="96"/>
        <v/>
      </c>
      <c r="V153" s="64">
        <f t="shared" ca="1" si="87"/>
        <v>1</v>
      </c>
      <c r="W153" s="43" t="str">
        <f t="shared" ca="1" si="86"/>
        <v>Appoggio!$A$11:$A$13</v>
      </c>
      <c r="X153" s="65" t="s">
        <v>345</v>
      </c>
      <c r="Y153" s="118"/>
      <c r="Z153" s="111"/>
    </row>
    <row r="154" spans="1:26" ht="14.25" customHeight="1">
      <c r="A154" s="166"/>
      <c r="B154" s="164"/>
      <c r="C154" s="163"/>
      <c r="D154" s="55" t="s">
        <v>18</v>
      </c>
      <c r="E154" s="67"/>
      <c r="F154" s="106" t="s">
        <v>18</v>
      </c>
      <c r="G154" s="165"/>
      <c r="H154" s="203"/>
      <c r="I154" s="154"/>
      <c r="J154" s="154"/>
      <c r="K154" s="184"/>
      <c r="L154" s="184"/>
      <c r="M154" s="39">
        <v>1</v>
      </c>
      <c r="N154" s="39">
        <f t="shared" si="97"/>
        <v>1</v>
      </c>
      <c r="O154" s="40" t="s">
        <v>21</v>
      </c>
      <c r="P154" s="41" cm="1">
        <f t="array" aca="1" ref="P154" ca="1">IF(F154&lt;&gt;"",SUMPRODUCT(MAX((INDIRECT(ADDRESS(1,COLUMN(K$1),2) &amp;":"&amp; ADDRESS(ROW(),COLUMN(K$1),4))&lt;&gt;"")*(ROW(INDIRECT(ADDRESS(1,COLUMN(K$1),2) &amp;":"&amp; ADDRESS(ROW(),COLUMN(K$1),4)))))),239)</f>
        <v>153</v>
      </c>
      <c r="Q154" s="41" t="str">
        <f t="shared" ca="1" si="85"/>
        <v/>
      </c>
      <c r="R154" s="41" t="str">
        <f t="shared" ca="1" si="98"/>
        <v/>
      </c>
      <c r="S154" s="41" t="str">
        <f t="shared" ca="1" si="99"/>
        <v/>
      </c>
      <c r="T154" s="42" t="str">
        <f t="shared" ca="1" si="95"/>
        <v/>
      </c>
      <c r="U154" s="42" t="str">
        <f t="shared" ca="1" si="96"/>
        <v/>
      </c>
      <c r="V154" s="41">
        <f t="shared" ca="1" si="87"/>
        <v>1</v>
      </c>
      <c r="W154" s="45" t="str">
        <f t="shared" ca="1" si="86"/>
        <v>Appoggio!$A$11:$A$13</v>
      </c>
      <c r="X154" s="46" t="s">
        <v>346</v>
      </c>
      <c r="Y154" s="116"/>
      <c r="Z154" s="109"/>
    </row>
    <row r="155" spans="1:26" ht="42">
      <c r="A155" s="166"/>
      <c r="B155" s="164"/>
      <c r="C155" s="163"/>
      <c r="D155" s="55" t="s">
        <v>18</v>
      </c>
      <c r="E155" s="67"/>
      <c r="F155" s="106" t="s">
        <v>18</v>
      </c>
      <c r="G155" s="165"/>
      <c r="H155" s="82" t="s">
        <v>116</v>
      </c>
      <c r="I155" s="66" t="s">
        <v>117</v>
      </c>
      <c r="J155" s="75" t="s">
        <v>513</v>
      </c>
      <c r="K155" s="184"/>
      <c r="L155" s="184"/>
      <c r="M155" s="39">
        <v>3</v>
      </c>
      <c r="N155" s="39">
        <f t="shared" si="97"/>
        <v>3</v>
      </c>
      <c r="O155" s="40" t="s">
        <v>21</v>
      </c>
      <c r="P155" s="41" cm="1">
        <f t="array" aca="1" ref="P155" ca="1">IF(F155&lt;&gt;"",SUMPRODUCT(MAX((INDIRECT(ADDRESS(1,COLUMN(K$1),2) &amp;":"&amp; ADDRESS(ROW(),COLUMN(K$1),4))&lt;&gt;"")*(ROW(INDIRECT(ADDRESS(1,COLUMN(K$1),2) &amp;":"&amp; ADDRESS(ROW(),COLUMN(K$1),4)))))),239)</f>
        <v>153</v>
      </c>
      <c r="Q155" s="41" t="str">
        <f t="shared" ca="1" si="85"/>
        <v/>
      </c>
      <c r="R155" s="41" t="str">
        <f t="shared" ca="1" si="98"/>
        <v/>
      </c>
      <c r="S155" s="41" t="str">
        <f t="shared" ca="1" si="99"/>
        <v/>
      </c>
      <c r="T155" s="42" t="str">
        <f t="shared" ca="1" si="95"/>
        <v/>
      </c>
      <c r="U155" s="42" t="str">
        <f t="shared" ca="1" si="96"/>
        <v/>
      </c>
      <c r="V155" s="41">
        <f t="shared" ca="1" si="87"/>
        <v>1</v>
      </c>
      <c r="W155" s="45" t="str">
        <f t="shared" ca="1" si="86"/>
        <v>Appoggio!$A$11:$A$13</v>
      </c>
      <c r="X155" s="46" t="s">
        <v>347</v>
      </c>
      <c r="Y155" s="116"/>
      <c r="Z155" s="109"/>
    </row>
    <row r="156" spans="1:26" ht="14.25" customHeight="1">
      <c r="A156" s="166"/>
      <c r="B156" s="164"/>
      <c r="C156" s="163"/>
      <c r="D156" s="55" t="s">
        <v>18</v>
      </c>
      <c r="E156" s="67"/>
      <c r="F156" s="106" t="s">
        <v>18</v>
      </c>
      <c r="G156" s="165"/>
      <c r="H156" s="82" t="s">
        <v>118</v>
      </c>
      <c r="I156" s="66"/>
      <c r="J156" s="66"/>
      <c r="K156" s="184"/>
      <c r="L156" s="184"/>
      <c r="M156" s="39">
        <v>1</v>
      </c>
      <c r="N156" s="39">
        <f t="shared" si="97"/>
        <v>1</v>
      </c>
      <c r="O156" s="40" t="s">
        <v>21</v>
      </c>
      <c r="P156" s="41" cm="1">
        <f t="array" aca="1" ref="P156" ca="1">IF(F156&lt;&gt;"",SUMPRODUCT(MAX((INDIRECT(ADDRESS(1,COLUMN(K$1),2) &amp;":"&amp; ADDRESS(ROW(),COLUMN(K$1),4))&lt;&gt;"")*(ROW(INDIRECT(ADDRESS(1,COLUMN(K$1),2) &amp;":"&amp; ADDRESS(ROW(),COLUMN(K$1),4)))))),239)</f>
        <v>153</v>
      </c>
      <c r="Q156" s="41" t="str">
        <f t="shared" ca="1" si="85"/>
        <v/>
      </c>
      <c r="R156" s="41" t="str">
        <f t="shared" ca="1" si="98"/>
        <v/>
      </c>
      <c r="S156" s="41" t="str">
        <f t="shared" ca="1" si="99"/>
        <v/>
      </c>
      <c r="T156" s="42" t="str">
        <f t="shared" ca="1" si="95"/>
        <v/>
      </c>
      <c r="U156" s="42" t="str">
        <f t="shared" ca="1" si="96"/>
        <v/>
      </c>
      <c r="V156" s="41">
        <f t="shared" ca="1" si="87"/>
        <v>1</v>
      </c>
      <c r="W156" s="45" t="str">
        <f t="shared" ca="1" si="86"/>
        <v>Appoggio!$A$11:$A$13</v>
      </c>
      <c r="X156" s="46" t="s">
        <v>348</v>
      </c>
      <c r="Y156" s="116"/>
      <c r="Z156" s="109"/>
    </row>
    <row r="157" spans="1:26" ht="14.25" customHeight="1">
      <c r="A157" s="166"/>
      <c r="B157" s="164"/>
      <c r="C157" s="163"/>
      <c r="D157" s="55" t="s">
        <v>18</v>
      </c>
      <c r="E157" s="67"/>
      <c r="F157" s="106" t="s">
        <v>18</v>
      </c>
      <c r="G157" s="165"/>
      <c r="H157" s="86" t="s">
        <v>119</v>
      </c>
      <c r="I157" s="38"/>
      <c r="J157" s="38"/>
      <c r="K157" s="184"/>
      <c r="L157" s="184"/>
      <c r="M157" s="47">
        <v>2</v>
      </c>
      <c r="N157" s="47">
        <f t="shared" si="97"/>
        <v>2</v>
      </c>
      <c r="O157" s="48" t="s">
        <v>21</v>
      </c>
      <c r="P157" s="49" cm="1">
        <f t="array" aca="1" ref="P157" ca="1">IF(F157&lt;&gt;"",SUMPRODUCT(MAX((INDIRECT(ADDRESS(1,COLUMN(K$1),2) &amp;":"&amp; ADDRESS(ROW(),COLUMN(K$1),4))&lt;&gt;"")*(ROW(INDIRECT(ADDRESS(1,COLUMN(K$1),2) &amp;":"&amp; ADDRESS(ROW(),COLUMN(K$1),4)))))),239)</f>
        <v>153</v>
      </c>
      <c r="Q157" s="50" t="str">
        <f t="shared" ca="1" si="85"/>
        <v/>
      </c>
      <c r="R157" s="50" t="str">
        <f t="shared" ca="1" si="98"/>
        <v/>
      </c>
      <c r="S157" s="50" t="str">
        <f t="shared" ca="1" si="99"/>
        <v/>
      </c>
      <c r="T157" s="51" t="str">
        <f t="shared" ca="1" si="95"/>
        <v/>
      </c>
      <c r="U157" s="51" t="str">
        <f t="shared" ca="1" si="96"/>
        <v/>
      </c>
      <c r="V157" s="50">
        <f t="shared" ca="1" si="87"/>
        <v>1</v>
      </c>
      <c r="W157" s="70" t="str">
        <f t="shared" ca="1" si="86"/>
        <v>Appoggio!$A$11:$A$13</v>
      </c>
      <c r="X157" s="52" t="s">
        <v>349</v>
      </c>
      <c r="Y157" s="117"/>
      <c r="Z157" s="110"/>
    </row>
    <row r="158" spans="1:26" ht="14.25" customHeight="1">
      <c r="A158" s="166"/>
      <c r="B158" s="164" t="s">
        <v>120</v>
      </c>
      <c r="C158" s="163" t="s">
        <v>350</v>
      </c>
      <c r="D158" s="55" t="s">
        <v>18</v>
      </c>
      <c r="E158" s="67"/>
      <c r="F158" s="106" t="s">
        <v>18</v>
      </c>
      <c r="G158" s="165" t="str">
        <f>IF(L158&gt;0,"✔","")</f>
        <v>✔</v>
      </c>
      <c r="H158" s="162" t="s">
        <v>121</v>
      </c>
      <c r="I158" s="153" t="s">
        <v>122</v>
      </c>
      <c r="J158" s="153" t="s">
        <v>514</v>
      </c>
      <c r="K158" s="184">
        <v>1</v>
      </c>
      <c r="L158" s="184">
        <f>IF(COUNTA(F158:F160)&lt;&gt;0,K158,0)</f>
        <v>1</v>
      </c>
      <c r="M158" s="60">
        <v>3</v>
      </c>
      <c r="N158" s="60">
        <f t="shared" si="97"/>
        <v>3</v>
      </c>
      <c r="O158" s="61" t="s">
        <v>21</v>
      </c>
      <c r="P158" s="41" cm="1">
        <f t="array" aca="1" ref="P158" ca="1">IF(F158&lt;&gt;"",SUMPRODUCT(MAX((INDIRECT(ADDRESS(1,COLUMN(K$1),2) &amp;":"&amp; ADDRESS(ROW(),COLUMN(K$1),4))&lt;&gt;"")*(ROW(INDIRECT(ADDRESS(1,COLUMN(K$1),2) &amp;":"&amp; ADDRESS(ROW(),COLUMN(K$1),4)))))),239)</f>
        <v>158</v>
      </c>
      <c r="Q158" s="41" t="str">
        <f t="shared" ca="1" si="85"/>
        <v/>
      </c>
      <c r="R158" s="41" t="str">
        <f t="shared" ca="1" si="98"/>
        <v/>
      </c>
      <c r="S158" s="41" t="str">
        <f t="shared" ca="1" si="99"/>
        <v/>
      </c>
      <c r="T158" s="63" t="str">
        <f t="shared" ca="1" si="95"/>
        <v/>
      </c>
      <c r="U158" s="63" t="str">
        <f t="shared" ca="1" si="96"/>
        <v/>
      </c>
      <c r="V158" s="64">
        <f t="shared" ca="1" si="87"/>
        <v>1</v>
      </c>
      <c r="W158" s="43" t="str">
        <f t="shared" ca="1" si="86"/>
        <v>Appoggio!$A$11:$A$13</v>
      </c>
      <c r="X158" s="65" t="s">
        <v>353</v>
      </c>
      <c r="Y158" s="118"/>
      <c r="Z158" s="111"/>
    </row>
    <row r="159" spans="1:26" ht="14.25" customHeight="1">
      <c r="A159" s="166"/>
      <c r="B159" s="164"/>
      <c r="C159" s="163"/>
      <c r="D159" s="55" t="s">
        <v>18</v>
      </c>
      <c r="E159" s="67"/>
      <c r="F159" s="106" t="s">
        <v>18</v>
      </c>
      <c r="G159" s="165"/>
      <c r="H159" s="162"/>
      <c r="I159" s="153"/>
      <c r="J159" s="153"/>
      <c r="K159" s="184"/>
      <c r="L159" s="184"/>
      <c r="M159" s="39">
        <v>2</v>
      </c>
      <c r="N159" s="39">
        <f t="shared" si="97"/>
        <v>2</v>
      </c>
      <c r="O159" s="40" t="s">
        <v>21</v>
      </c>
      <c r="P159" s="41" cm="1">
        <f t="array" aca="1" ref="P159" ca="1">IF(F159&lt;&gt;"",SUMPRODUCT(MAX((INDIRECT(ADDRESS(1,COLUMN(K$1),2) &amp;":"&amp; ADDRESS(ROW(),COLUMN(K$1),4))&lt;&gt;"")*(ROW(INDIRECT(ADDRESS(1,COLUMN(K$1),2) &amp;":"&amp; ADDRESS(ROW(),COLUMN(K$1),4)))))),239)</f>
        <v>158</v>
      </c>
      <c r="Q159" s="41" t="str">
        <f t="shared" ca="1" si="85"/>
        <v/>
      </c>
      <c r="R159" s="41" t="str">
        <f t="shared" ca="1" si="98"/>
        <v/>
      </c>
      <c r="S159" s="41" t="str">
        <f t="shared" ca="1" si="99"/>
        <v/>
      </c>
      <c r="T159" s="42" t="str">
        <f t="shared" ca="1" si="95"/>
        <v/>
      </c>
      <c r="U159" s="42" t="str">
        <f t="shared" ca="1" si="96"/>
        <v/>
      </c>
      <c r="V159" s="41">
        <f t="shared" ca="1" si="87"/>
        <v>1</v>
      </c>
      <c r="W159" s="45" t="str">
        <f t="shared" ca="1" si="86"/>
        <v>Appoggio!$A$11:$A$13</v>
      </c>
      <c r="X159" s="46" t="s">
        <v>351</v>
      </c>
      <c r="Y159" s="116"/>
      <c r="Z159" s="109"/>
    </row>
    <row r="160" spans="1:26" ht="14.25" customHeight="1">
      <c r="A160" s="166"/>
      <c r="B160" s="164"/>
      <c r="C160" s="163"/>
      <c r="D160" s="55" t="s">
        <v>18</v>
      </c>
      <c r="E160" s="67"/>
      <c r="F160" s="106" t="s">
        <v>18</v>
      </c>
      <c r="G160" s="165"/>
      <c r="H160" s="162"/>
      <c r="I160" s="153"/>
      <c r="J160" s="153"/>
      <c r="K160" s="184"/>
      <c r="L160" s="184"/>
      <c r="M160" s="47">
        <v>1</v>
      </c>
      <c r="N160" s="47">
        <f t="shared" si="97"/>
        <v>1</v>
      </c>
      <c r="O160" s="48" t="s">
        <v>21</v>
      </c>
      <c r="P160" s="49" cm="1">
        <f t="array" aca="1" ref="P160" ca="1">IF(F160&lt;&gt;"",SUMPRODUCT(MAX((INDIRECT(ADDRESS(1,COLUMN(K$1),2) &amp;":"&amp; ADDRESS(ROW(),COLUMN(K$1),4))&lt;&gt;"")*(ROW(INDIRECT(ADDRESS(1,COLUMN(K$1),2) &amp;":"&amp; ADDRESS(ROW(),COLUMN(K$1),4)))))),239)</f>
        <v>158</v>
      </c>
      <c r="Q160" s="50" t="str">
        <f t="shared" ca="1" si="85"/>
        <v/>
      </c>
      <c r="R160" s="50" t="str">
        <f t="shared" ca="1" si="98"/>
        <v/>
      </c>
      <c r="S160" s="50" t="str">
        <f t="shared" ca="1" si="99"/>
        <v/>
      </c>
      <c r="T160" s="51" t="str">
        <f t="shared" ca="1" si="95"/>
        <v/>
      </c>
      <c r="U160" s="51" t="str">
        <f t="shared" ca="1" si="96"/>
        <v/>
      </c>
      <c r="V160" s="50">
        <f t="shared" ca="1" si="87"/>
        <v>1</v>
      </c>
      <c r="W160" s="70" t="str">
        <f t="shared" ca="1" si="86"/>
        <v>Appoggio!$A$11:$A$13</v>
      </c>
      <c r="X160" s="52" t="s">
        <v>352</v>
      </c>
      <c r="Y160" s="117"/>
      <c r="Z160" s="110"/>
    </row>
    <row r="161" spans="1:26" ht="14.25" customHeight="1">
      <c r="A161" s="166"/>
      <c r="B161" s="164" t="s">
        <v>123</v>
      </c>
      <c r="C161" s="163" t="s">
        <v>354</v>
      </c>
      <c r="D161" s="55" t="s">
        <v>18</v>
      </c>
      <c r="E161" s="55" t="s">
        <v>18</v>
      </c>
      <c r="F161" s="106" t="s">
        <v>18</v>
      </c>
      <c r="G161" s="165" t="str">
        <f>IF(L161&gt;0,"✔","")</f>
        <v>✔</v>
      </c>
      <c r="H161" s="164" t="s">
        <v>124</v>
      </c>
      <c r="I161" s="155"/>
      <c r="J161" s="155"/>
      <c r="K161" s="184">
        <v>1</v>
      </c>
      <c r="L161" s="184">
        <f>IF(COUNTA(F161:F165)&lt;&gt;0,K161,0)</f>
        <v>1</v>
      </c>
      <c r="M161" s="60">
        <v>2</v>
      </c>
      <c r="N161" s="60">
        <f t="shared" si="97"/>
        <v>2</v>
      </c>
      <c r="O161" s="61" t="s">
        <v>21</v>
      </c>
      <c r="P161" s="41" cm="1">
        <f t="array" aca="1" ref="P161" ca="1">IF(F161&lt;&gt;"",SUMPRODUCT(MAX((INDIRECT(ADDRESS(1,COLUMN(K$1),2) &amp;":"&amp; ADDRESS(ROW(),COLUMN(K$1),4))&lt;&gt;"")*(ROW(INDIRECT(ADDRESS(1,COLUMN(K$1),2) &amp;":"&amp; ADDRESS(ROW(),COLUMN(K$1),4)))))),239)</f>
        <v>161</v>
      </c>
      <c r="Q161" s="41" t="str">
        <f t="shared" ca="1" si="85"/>
        <v/>
      </c>
      <c r="R161" s="41" t="str">
        <f t="shared" ca="1" si="98"/>
        <v/>
      </c>
      <c r="S161" s="41" t="str">
        <f t="shared" ca="1" si="99"/>
        <v/>
      </c>
      <c r="T161" s="62" t="str">
        <f t="shared" ca="1" si="95"/>
        <v/>
      </c>
      <c r="U161" s="63" t="str">
        <f t="shared" ca="1" si="96"/>
        <v/>
      </c>
      <c r="V161" s="64">
        <f t="shared" ca="1" si="87"/>
        <v>1</v>
      </c>
      <c r="W161" s="43" t="str">
        <f t="shared" ca="1" si="86"/>
        <v>Appoggio!$A$11:$A$13</v>
      </c>
      <c r="X161" s="65" t="s">
        <v>355</v>
      </c>
      <c r="Y161" s="118"/>
      <c r="Z161" s="111"/>
    </row>
    <row r="162" spans="1:26" ht="14.25" customHeight="1">
      <c r="A162" s="166"/>
      <c r="B162" s="164"/>
      <c r="C162" s="163"/>
      <c r="D162" s="55" t="s">
        <v>18</v>
      </c>
      <c r="E162" s="55" t="s">
        <v>18</v>
      </c>
      <c r="F162" s="106" t="s">
        <v>18</v>
      </c>
      <c r="G162" s="165"/>
      <c r="H162" s="164"/>
      <c r="I162" s="155"/>
      <c r="J162" s="155"/>
      <c r="K162" s="184"/>
      <c r="L162" s="184"/>
      <c r="M162" s="39">
        <v>3</v>
      </c>
      <c r="N162" s="39">
        <f t="shared" si="97"/>
        <v>3</v>
      </c>
      <c r="O162" s="40" t="s">
        <v>21</v>
      </c>
      <c r="P162" s="41" cm="1">
        <f t="array" aca="1" ref="P162" ca="1">IF(F162&lt;&gt;"",SUMPRODUCT(MAX((INDIRECT(ADDRESS(1,COLUMN(K$1),2) &amp;":"&amp; ADDRESS(ROW(),COLUMN(K$1),4))&lt;&gt;"")*(ROW(INDIRECT(ADDRESS(1,COLUMN(K$1),2) &amp;":"&amp; ADDRESS(ROW(),COLUMN(K$1),4)))))),239)</f>
        <v>161</v>
      </c>
      <c r="Q162" s="41" t="str">
        <f t="shared" ca="1" si="85"/>
        <v/>
      </c>
      <c r="R162" s="41" t="str">
        <f t="shared" ca="1" si="98"/>
        <v/>
      </c>
      <c r="S162" s="41" t="str">
        <f t="shared" ca="1" si="99"/>
        <v/>
      </c>
      <c r="T162" s="42" t="str">
        <f t="shared" ca="1" si="95"/>
        <v/>
      </c>
      <c r="U162" s="42" t="str">
        <f t="shared" ca="1" si="96"/>
        <v/>
      </c>
      <c r="V162" s="41">
        <f t="shared" ca="1" si="87"/>
        <v>1</v>
      </c>
      <c r="W162" s="45" t="str">
        <f t="shared" ca="1" si="86"/>
        <v>Appoggio!$A$11:$A$13</v>
      </c>
      <c r="X162" s="46" t="s">
        <v>356</v>
      </c>
      <c r="Y162" s="116"/>
      <c r="Z162" s="109"/>
    </row>
    <row r="163" spans="1:26" ht="14.25" customHeight="1">
      <c r="A163" s="166"/>
      <c r="B163" s="164"/>
      <c r="C163" s="163"/>
      <c r="D163" s="55" t="s">
        <v>18</v>
      </c>
      <c r="E163" s="55" t="s">
        <v>18</v>
      </c>
      <c r="F163" s="106" t="s">
        <v>18</v>
      </c>
      <c r="G163" s="165"/>
      <c r="H163" s="164"/>
      <c r="I163" s="155"/>
      <c r="J163" s="155"/>
      <c r="K163" s="184"/>
      <c r="L163" s="184"/>
      <c r="M163" s="39">
        <v>3</v>
      </c>
      <c r="N163" s="39">
        <f t="shared" si="97"/>
        <v>3</v>
      </c>
      <c r="O163" s="40" t="s">
        <v>21</v>
      </c>
      <c r="P163" s="41" cm="1">
        <f t="array" aca="1" ref="P163" ca="1">IF(F163&lt;&gt;"",SUMPRODUCT(MAX((INDIRECT(ADDRESS(1,COLUMN(K$1),2) &amp;":"&amp; ADDRESS(ROW(),COLUMN(K$1),4))&lt;&gt;"")*(ROW(INDIRECT(ADDRESS(1,COLUMN(K$1),2) &amp;":"&amp; ADDRESS(ROW(),COLUMN(K$1),4)))))),239)</f>
        <v>161</v>
      </c>
      <c r="Q163" s="41" t="str">
        <f t="shared" ca="1" si="85"/>
        <v/>
      </c>
      <c r="R163" s="41" t="str">
        <f t="shared" ca="1" si="98"/>
        <v/>
      </c>
      <c r="S163" s="41" t="str">
        <f t="shared" ca="1" si="99"/>
        <v/>
      </c>
      <c r="T163" s="42" t="str">
        <f t="shared" ca="1" si="95"/>
        <v/>
      </c>
      <c r="U163" s="42" t="str">
        <f t="shared" ca="1" si="96"/>
        <v/>
      </c>
      <c r="V163" s="41">
        <f t="shared" ca="1" si="87"/>
        <v>1</v>
      </c>
      <c r="W163" s="45" t="str">
        <f t="shared" ca="1" si="86"/>
        <v>Appoggio!$A$11:$A$13</v>
      </c>
      <c r="X163" s="46" t="s">
        <v>357</v>
      </c>
      <c r="Y163" s="116"/>
      <c r="Z163" s="109"/>
    </row>
    <row r="164" spans="1:26" ht="14.25" customHeight="1">
      <c r="A164" s="166"/>
      <c r="B164" s="164"/>
      <c r="C164" s="163"/>
      <c r="D164" s="55" t="s">
        <v>18</v>
      </c>
      <c r="E164" s="55" t="s">
        <v>18</v>
      </c>
      <c r="F164" s="106" t="s">
        <v>18</v>
      </c>
      <c r="G164" s="165"/>
      <c r="H164" s="164"/>
      <c r="I164" s="155"/>
      <c r="J164" s="155"/>
      <c r="K164" s="184"/>
      <c r="L164" s="184"/>
      <c r="M164" s="39">
        <v>1</v>
      </c>
      <c r="N164" s="39">
        <f t="shared" si="97"/>
        <v>1</v>
      </c>
      <c r="O164" s="40" t="s">
        <v>21</v>
      </c>
      <c r="P164" s="41" cm="1">
        <f t="array" aca="1" ref="P164" ca="1">IF(F164&lt;&gt;"",SUMPRODUCT(MAX((INDIRECT(ADDRESS(1,COLUMN(K$1),2) &amp;":"&amp; ADDRESS(ROW(),COLUMN(K$1),4))&lt;&gt;"")*(ROW(INDIRECT(ADDRESS(1,COLUMN(K$1),2) &amp;":"&amp; ADDRESS(ROW(),COLUMN(K$1),4)))))),239)</f>
        <v>161</v>
      </c>
      <c r="Q164" s="41" t="str">
        <f t="shared" ca="1" si="85"/>
        <v/>
      </c>
      <c r="R164" s="41" t="str">
        <f t="shared" ca="1" si="98"/>
        <v/>
      </c>
      <c r="S164" s="41" t="str">
        <f t="shared" ca="1" si="99"/>
        <v/>
      </c>
      <c r="T164" s="42" t="str">
        <f t="shared" ca="1" si="95"/>
        <v/>
      </c>
      <c r="U164" s="42" t="str">
        <f t="shared" ca="1" si="96"/>
        <v/>
      </c>
      <c r="V164" s="41">
        <f t="shared" ca="1" si="87"/>
        <v>1</v>
      </c>
      <c r="W164" s="45" t="str">
        <f t="shared" ca="1" si="86"/>
        <v>Appoggio!$A$11:$A$13</v>
      </c>
      <c r="X164" s="46" t="s">
        <v>358</v>
      </c>
      <c r="Y164" s="116"/>
      <c r="Z164" s="109"/>
    </row>
    <row r="165" spans="1:26" ht="14.25" customHeight="1">
      <c r="A165" s="166"/>
      <c r="B165" s="164"/>
      <c r="C165" s="163"/>
      <c r="D165" s="55" t="s">
        <v>18</v>
      </c>
      <c r="E165" s="55" t="s">
        <v>18</v>
      </c>
      <c r="F165" s="106" t="s">
        <v>18</v>
      </c>
      <c r="G165" s="165"/>
      <c r="H165" s="164"/>
      <c r="I165" s="155"/>
      <c r="J165" s="155"/>
      <c r="K165" s="184"/>
      <c r="L165" s="184"/>
      <c r="M165" s="47">
        <v>2</v>
      </c>
      <c r="N165" s="47">
        <f t="shared" si="97"/>
        <v>2</v>
      </c>
      <c r="O165" s="48" t="s">
        <v>21</v>
      </c>
      <c r="P165" s="49" cm="1">
        <f t="array" aca="1" ref="P165" ca="1">IF(F165&lt;&gt;"",SUMPRODUCT(MAX((INDIRECT(ADDRESS(1,COLUMN(K$1),2) &amp;":"&amp; ADDRESS(ROW(),COLUMN(K$1),4))&lt;&gt;"")*(ROW(INDIRECT(ADDRESS(1,COLUMN(K$1),2) &amp;":"&amp; ADDRESS(ROW(),COLUMN(K$1),4)))))),239)</f>
        <v>161</v>
      </c>
      <c r="Q165" s="50" t="str">
        <f t="shared" ca="1" si="85"/>
        <v/>
      </c>
      <c r="R165" s="50" t="str">
        <f t="shared" ca="1" si="98"/>
        <v/>
      </c>
      <c r="S165" s="50" t="str">
        <f t="shared" ca="1" si="99"/>
        <v/>
      </c>
      <c r="T165" s="51" t="str">
        <f t="shared" ref="T165:T193" ca="1" si="100">IF(R165&lt;&gt;"",R165/SUMIFS(M$3:M$253,P$3:P$253,P165),"")</f>
        <v/>
      </c>
      <c r="U165" s="51" t="str">
        <f t="shared" ref="U165:U193" ca="1" si="101">IF(R165&lt;&gt;"",SUMIFS(T$3:T$253,P$3:P$253,P165),"")</f>
        <v/>
      </c>
      <c r="V165" s="50">
        <f t="shared" ca="1" si="87"/>
        <v>1</v>
      </c>
      <c r="W165" s="70" t="str">
        <f t="shared" ca="1" si="86"/>
        <v>Appoggio!$A$11:$A$13</v>
      </c>
      <c r="X165" s="52" t="s">
        <v>359</v>
      </c>
      <c r="Y165" s="117"/>
      <c r="Z165" s="110"/>
    </row>
    <row r="166" spans="1:26" ht="14.25" customHeight="1">
      <c r="A166" s="166"/>
      <c r="B166" s="164" t="s">
        <v>125</v>
      </c>
      <c r="C166" s="163" t="s">
        <v>420</v>
      </c>
      <c r="D166" s="55" t="s">
        <v>18</v>
      </c>
      <c r="E166" s="55" t="s">
        <v>18</v>
      </c>
      <c r="F166" s="106" t="s">
        <v>18</v>
      </c>
      <c r="G166" s="202" t="str">
        <f>IF(L166&gt;0,"✔","")</f>
        <v>✔</v>
      </c>
      <c r="H166" s="194" t="s">
        <v>126</v>
      </c>
      <c r="I166" s="207" t="s">
        <v>127</v>
      </c>
      <c r="J166" s="207" t="s">
        <v>515</v>
      </c>
      <c r="K166" s="185">
        <v>1</v>
      </c>
      <c r="L166" s="185">
        <f>IF(COUNTA(F166:F170)&lt;&gt;0,K166,0)</f>
        <v>1</v>
      </c>
      <c r="M166" s="60">
        <v>3</v>
      </c>
      <c r="N166" s="60">
        <f t="shared" si="97"/>
        <v>3</v>
      </c>
      <c r="O166" s="61" t="s">
        <v>21</v>
      </c>
      <c r="P166" s="41" cm="1">
        <f t="array" aca="1" ref="P166" ca="1">IF(F166&lt;&gt;"",SUMPRODUCT(MAX((INDIRECT(ADDRESS(1,COLUMN(K$1),2) &amp;":"&amp; ADDRESS(ROW(),COLUMN(K$1),4))&lt;&gt;"")*(ROW(INDIRECT(ADDRESS(1,COLUMN(K$1),2) &amp;":"&amp; ADDRESS(ROW(),COLUMN(K$1),4)))))),239)</f>
        <v>166</v>
      </c>
      <c r="Q166" s="41" t="str">
        <f t="shared" ca="1" si="85"/>
        <v/>
      </c>
      <c r="R166" s="41" t="str">
        <f t="shared" ca="1" si="98"/>
        <v/>
      </c>
      <c r="S166" s="41" t="str">
        <f t="shared" ca="1" si="99"/>
        <v/>
      </c>
      <c r="T166" s="63" t="str">
        <f t="shared" ca="1" si="100"/>
        <v/>
      </c>
      <c r="U166" s="63" t="str">
        <f t="shared" ca="1" si="101"/>
        <v/>
      </c>
      <c r="V166" s="64">
        <f t="shared" ca="1" si="87"/>
        <v>1</v>
      </c>
      <c r="W166" s="43" t="str">
        <f t="shared" ca="1" si="86"/>
        <v>Appoggio!$A$11:$A$13</v>
      </c>
      <c r="X166" s="65" t="s">
        <v>360</v>
      </c>
      <c r="Y166" s="118"/>
      <c r="Z166" s="111"/>
    </row>
    <row r="167" spans="1:26" ht="14.25" customHeight="1">
      <c r="A167" s="166"/>
      <c r="B167" s="164"/>
      <c r="C167" s="163"/>
      <c r="D167" s="55" t="s">
        <v>18</v>
      </c>
      <c r="E167" s="55" t="s">
        <v>18</v>
      </c>
      <c r="F167" s="106" t="s">
        <v>18</v>
      </c>
      <c r="G167" s="202"/>
      <c r="H167" s="195"/>
      <c r="I167" s="208"/>
      <c r="J167" s="208"/>
      <c r="K167" s="185"/>
      <c r="L167" s="185"/>
      <c r="M167" s="39">
        <v>3</v>
      </c>
      <c r="N167" s="39">
        <f t="shared" si="97"/>
        <v>3</v>
      </c>
      <c r="O167" s="40" t="s">
        <v>21</v>
      </c>
      <c r="P167" s="41" cm="1">
        <f t="array" aca="1" ref="P167" ca="1">IF(F167&lt;&gt;"",SUMPRODUCT(MAX((INDIRECT(ADDRESS(1,COLUMN(K$1),2) &amp;":"&amp; ADDRESS(ROW(),COLUMN(K$1),4))&lt;&gt;"")*(ROW(INDIRECT(ADDRESS(1,COLUMN(K$1),2) &amp;":"&amp; ADDRESS(ROW(),COLUMN(K$1),4)))))),239)</f>
        <v>166</v>
      </c>
      <c r="Q167" s="41" t="str">
        <f t="shared" ca="1" si="85"/>
        <v/>
      </c>
      <c r="R167" s="41" t="str">
        <f t="shared" ca="1" si="98"/>
        <v/>
      </c>
      <c r="S167" s="41" t="str">
        <f t="shared" ca="1" si="99"/>
        <v/>
      </c>
      <c r="T167" s="42" t="str">
        <f t="shared" ca="1" si="100"/>
        <v/>
      </c>
      <c r="U167" s="42" t="str">
        <f t="shared" ca="1" si="101"/>
        <v/>
      </c>
      <c r="V167" s="41">
        <f t="shared" ca="1" si="87"/>
        <v>1</v>
      </c>
      <c r="W167" s="45" t="str">
        <f t="shared" ca="1" si="86"/>
        <v>Appoggio!$A$11:$A$13</v>
      </c>
      <c r="X167" s="46" t="s">
        <v>361</v>
      </c>
      <c r="Y167" s="116"/>
      <c r="Z167" s="109"/>
    </row>
    <row r="168" spans="1:26" ht="14.25" customHeight="1">
      <c r="A168" s="166"/>
      <c r="B168" s="164"/>
      <c r="C168" s="163"/>
      <c r="D168" s="55" t="s">
        <v>18</v>
      </c>
      <c r="E168" s="55" t="s">
        <v>18</v>
      </c>
      <c r="F168" s="106" t="s">
        <v>18</v>
      </c>
      <c r="G168" s="202"/>
      <c r="H168" s="182"/>
      <c r="I168" s="150"/>
      <c r="J168" s="150"/>
      <c r="K168" s="185"/>
      <c r="L168" s="185"/>
      <c r="M168" s="39">
        <v>1</v>
      </c>
      <c r="N168" s="39">
        <f t="shared" si="97"/>
        <v>1</v>
      </c>
      <c r="O168" s="40" t="s">
        <v>21</v>
      </c>
      <c r="P168" s="41" cm="1">
        <f t="array" aca="1" ref="P168" ca="1">IF(F168&lt;&gt;"",SUMPRODUCT(MAX((INDIRECT(ADDRESS(1,COLUMN(K$1),2) &amp;":"&amp; ADDRESS(ROW(),COLUMN(K$1),4))&lt;&gt;"")*(ROW(INDIRECT(ADDRESS(1,COLUMN(K$1),2) &amp;":"&amp; ADDRESS(ROW(),COLUMN(K$1),4)))))),239)</f>
        <v>166</v>
      </c>
      <c r="Q168" s="41" t="str">
        <f t="shared" ca="1" si="85"/>
        <v/>
      </c>
      <c r="R168" s="41" t="str">
        <f t="shared" ca="1" si="98"/>
        <v/>
      </c>
      <c r="S168" s="41" t="str">
        <f t="shared" ca="1" si="99"/>
        <v/>
      </c>
      <c r="T168" s="42" t="str">
        <f t="shared" ca="1" si="100"/>
        <v/>
      </c>
      <c r="U168" s="42" t="str">
        <f t="shared" ca="1" si="101"/>
        <v/>
      </c>
      <c r="V168" s="41">
        <f t="shared" ca="1" si="87"/>
        <v>1</v>
      </c>
      <c r="W168" s="45" t="str">
        <f t="shared" ca="1" si="86"/>
        <v>Appoggio!$A$11:$A$13</v>
      </c>
      <c r="X168" s="46" t="s">
        <v>362</v>
      </c>
      <c r="Y168" s="116"/>
      <c r="Z168" s="109"/>
    </row>
    <row r="169" spans="1:26" ht="14.25" customHeight="1">
      <c r="A169" s="166"/>
      <c r="B169" s="164"/>
      <c r="C169" s="163"/>
      <c r="D169" s="55" t="s">
        <v>18</v>
      </c>
      <c r="E169" s="55" t="s">
        <v>18</v>
      </c>
      <c r="F169" s="106" t="s">
        <v>18</v>
      </c>
      <c r="G169" s="202"/>
      <c r="H169" s="82" t="s">
        <v>119</v>
      </c>
      <c r="I169" s="68"/>
      <c r="J169" s="68"/>
      <c r="K169" s="185"/>
      <c r="L169" s="185"/>
      <c r="M169" s="39">
        <v>1</v>
      </c>
      <c r="N169" s="39">
        <f t="shared" si="97"/>
        <v>1</v>
      </c>
      <c r="O169" s="40" t="s">
        <v>21</v>
      </c>
      <c r="P169" s="41" cm="1">
        <f t="array" aca="1" ref="P169" ca="1">IF(F169&lt;&gt;"",SUMPRODUCT(MAX((INDIRECT(ADDRESS(1,COLUMN(K$1),2) &amp;":"&amp; ADDRESS(ROW(),COLUMN(K$1),4))&lt;&gt;"")*(ROW(INDIRECT(ADDRESS(1,COLUMN(K$1),2) &amp;":"&amp; ADDRESS(ROW(),COLUMN(K$1),4)))))),239)</f>
        <v>166</v>
      </c>
      <c r="Q169" s="41" t="str">
        <f t="shared" ca="1" si="85"/>
        <v/>
      </c>
      <c r="R169" s="41" t="str">
        <f t="shared" ca="1" si="98"/>
        <v/>
      </c>
      <c r="S169" s="41" t="str">
        <f t="shared" ca="1" si="99"/>
        <v/>
      </c>
      <c r="T169" s="42" t="str">
        <f t="shared" ca="1" si="100"/>
        <v/>
      </c>
      <c r="U169" s="42" t="str">
        <f t="shared" ca="1" si="101"/>
        <v/>
      </c>
      <c r="V169" s="41">
        <f t="shared" ca="1" si="87"/>
        <v>1</v>
      </c>
      <c r="W169" s="45" t="str">
        <f t="shared" ca="1" si="86"/>
        <v>Appoggio!$A$11:$A$13</v>
      </c>
      <c r="X169" s="46" t="s">
        <v>366</v>
      </c>
      <c r="Y169" s="116"/>
      <c r="Z169" s="113"/>
    </row>
    <row r="170" spans="1:26" ht="28">
      <c r="A170" s="166"/>
      <c r="B170" s="164"/>
      <c r="C170" s="163"/>
      <c r="D170" s="55" t="s">
        <v>18</v>
      </c>
      <c r="E170" s="55" t="s">
        <v>18</v>
      </c>
      <c r="F170" s="106" t="s">
        <v>18</v>
      </c>
      <c r="G170" s="202"/>
      <c r="H170" s="80"/>
      <c r="I170" s="66" t="s">
        <v>133</v>
      </c>
      <c r="J170" s="75" t="s">
        <v>516</v>
      </c>
      <c r="K170" s="185"/>
      <c r="L170" s="185"/>
      <c r="M170" s="39">
        <v>1</v>
      </c>
      <c r="N170" s="39">
        <f t="shared" si="97"/>
        <v>1</v>
      </c>
      <c r="O170" s="40" t="s">
        <v>21</v>
      </c>
      <c r="P170" s="49" cm="1">
        <f t="array" aca="1" ref="P170" ca="1">IF(F170&lt;&gt;"",SUMPRODUCT(MAX((INDIRECT(ADDRESS(1,COLUMN(K$1),2) &amp;":"&amp; ADDRESS(ROW(),COLUMN(K$1),4))&lt;&gt;"")*(ROW(INDIRECT(ADDRESS(1,COLUMN(K$1),2) &amp;":"&amp; ADDRESS(ROW(),COLUMN(K$1),4)))))),239)</f>
        <v>166</v>
      </c>
      <c r="Q170" s="50" t="str">
        <f t="shared" ca="1" si="85"/>
        <v/>
      </c>
      <c r="R170" s="50" t="str">
        <f t="shared" ca="1" si="98"/>
        <v/>
      </c>
      <c r="S170" s="50" t="str">
        <f t="shared" ca="1" si="99"/>
        <v/>
      </c>
      <c r="T170" s="51" t="str">
        <f t="shared" ca="1" si="100"/>
        <v/>
      </c>
      <c r="U170" s="42" t="str">
        <f t="shared" ca="1" si="101"/>
        <v/>
      </c>
      <c r="V170" s="41">
        <f t="shared" ca="1" si="87"/>
        <v>1</v>
      </c>
      <c r="W170" s="45" t="str">
        <f t="shared" ca="1" si="86"/>
        <v>Appoggio!$A$11:$A$13</v>
      </c>
      <c r="X170" s="46" t="s">
        <v>370</v>
      </c>
      <c r="Y170" s="117"/>
      <c r="Z170" s="113"/>
    </row>
    <row r="171" spans="1:26" ht="42">
      <c r="A171" s="166"/>
      <c r="B171" s="164" t="s">
        <v>128</v>
      </c>
      <c r="C171" s="204" t="s">
        <v>421</v>
      </c>
      <c r="D171" s="55" t="s">
        <v>18</v>
      </c>
      <c r="E171" s="76" t="s">
        <v>18</v>
      </c>
      <c r="F171" s="106" t="s">
        <v>18</v>
      </c>
      <c r="G171" s="165" t="str">
        <f>IF(L171&gt;0,"✔","")</f>
        <v>✔</v>
      </c>
      <c r="H171" s="85" t="s">
        <v>129</v>
      </c>
      <c r="I171" s="71" t="s">
        <v>117</v>
      </c>
      <c r="J171" s="73" t="s">
        <v>513</v>
      </c>
      <c r="K171" s="184">
        <v>1</v>
      </c>
      <c r="L171" s="184">
        <f>IF(COUNTA(F171:F178)&lt;&gt;0,K171,0)</f>
        <v>1</v>
      </c>
      <c r="M171" s="60">
        <v>1</v>
      </c>
      <c r="N171" s="60">
        <f t="shared" si="97"/>
        <v>1</v>
      </c>
      <c r="O171" s="61" t="s">
        <v>21</v>
      </c>
      <c r="P171" s="41" cm="1">
        <f t="array" aca="1" ref="P171" ca="1">IF(F171&lt;&gt;"",SUMPRODUCT(MAX((INDIRECT(ADDRESS(1,COLUMN(K$1),2) &amp;":"&amp; ADDRESS(ROW(),COLUMN(K$1),4))&lt;&gt;"")*(ROW(INDIRECT(ADDRESS(1,COLUMN(K$1),2) &amp;":"&amp; ADDRESS(ROW(),COLUMN(K$1),4)))))),239)</f>
        <v>171</v>
      </c>
      <c r="Q171" s="41" t="str">
        <f t="shared" ca="1" si="85"/>
        <v/>
      </c>
      <c r="R171" s="41" t="str">
        <f t="shared" ca="1" si="98"/>
        <v/>
      </c>
      <c r="S171" s="41" t="str">
        <f t="shared" ca="1" si="99"/>
        <v/>
      </c>
      <c r="T171" s="62" t="str">
        <f t="shared" ca="1" si="100"/>
        <v/>
      </c>
      <c r="U171" s="63" t="str">
        <f t="shared" ca="1" si="101"/>
        <v/>
      </c>
      <c r="V171" s="64">
        <f t="shared" ca="1" si="87"/>
        <v>1</v>
      </c>
      <c r="W171" s="43" t="str">
        <f t="shared" ca="1" si="86"/>
        <v>Appoggio!$A$11:$A$13</v>
      </c>
      <c r="X171" s="65" t="s">
        <v>364</v>
      </c>
      <c r="Y171" s="118"/>
      <c r="Z171" s="111"/>
    </row>
    <row r="172" spans="1:26" ht="14.25" customHeight="1">
      <c r="A172" s="166"/>
      <c r="B172" s="164"/>
      <c r="C172" s="205"/>
      <c r="D172" s="55" t="s">
        <v>18</v>
      </c>
      <c r="E172" s="76" t="s">
        <v>18</v>
      </c>
      <c r="F172" s="106" t="s">
        <v>18</v>
      </c>
      <c r="G172" s="165"/>
      <c r="H172" s="82" t="s">
        <v>126</v>
      </c>
      <c r="I172" s="66"/>
      <c r="J172" s="66"/>
      <c r="K172" s="184"/>
      <c r="L172" s="184"/>
      <c r="M172" s="39">
        <v>1</v>
      </c>
      <c r="N172" s="39">
        <f t="shared" si="97"/>
        <v>1</v>
      </c>
      <c r="O172" s="40" t="s">
        <v>21</v>
      </c>
      <c r="P172" s="41" cm="1">
        <f t="array" aca="1" ref="P172" ca="1">IF(F172&lt;&gt;"",SUMPRODUCT(MAX((INDIRECT(ADDRESS(1,COLUMN(K$1),2) &amp;":"&amp; ADDRESS(ROW(),COLUMN(K$1),4))&lt;&gt;"")*(ROW(INDIRECT(ADDRESS(1,COLUMN(K$1),2) &amp;":"&amp; ADDRESS(ROW(),COLUMN(K$1),4)))))),239)</f>
        <v>171</v>
      </c>
      <c r="Q172" s="41" t="str">
        <f t="shared" ca="1" si="85"/>
        <v/>
      </c>
      <c r="R172" s="41" t="str">
        <f t="shared" ca="1" si="98"/>
        <v/>
      </c>
      <c r="S172" s="41" t="str">
        <f t="shared" ca="1" si="99"/>
        <v/>
      </c>
      <c r="T172" s="42" t="str">
        <f t="shared" ca="1" si="100"/>
        <v/>
      </c>
      <c r="U172" s="42" t="str">
        <f t="shared" ca="1" si="101"/>
        <v/>
      </c>
      <c r="V172" s="41">
        <f t="shared" ca="1" si="87"/>
        <v>1</v>
      </c>
      <c r="W172" s="45" t="str">
        <f t="shared" ca="1" si="86"/>
        <v>Appoggio!$A$11:$A$13</v>
      </c>
      <c r="X172" s="46" t="s">
        <v>372</v>
      </c>
      <c r="Y172" s="116"/>
      <c r="Z172" s="109"/>
    </row>
    <row r="173" spans="1:26" ht="28">
      <c r="A173" s="166"/>
      <c r="B173" s="164"/>
      <c r="C173" s="205"/>
      <c r="D173" s="55" t="s">
        <v>18</v>
      </c>
      <c r="E173" s="76" t="s">
        <v>18</v>
      </c>
      <c r="F173" s="106" t="s">
        <v>18</v>
      </c>
      <c r="G173" s="165"/>
      <c r="H173" s="82" t="s">
        <v>130</v>
      </c>
      <c r="I173" s="66" t="s">
        <v>84</v>
      </c>
      <c r="J173" s="75" t="s">
        <v>517</v>
      </c>
      <c r="K173" s="184"/>
      <c r="L173" s="184"/>
      <c r="M173" s="39">
        <v>2</v>
      </c>
      <c r="N173" s="39">
        <f t="shared" si="97"/>
        <v>2</v>
      </c>
      <c r="O173" s="40" t="s">
        <v>21</v>
      </c>
      <c r="P173" s="41" cm="1">
        <f t="array" aca="1" ref="P173" ca="1">IF(F173&lt;&gt;"",SUMPRODUCT(MAX((INDIRECT(ADDRESS(1,COLUMN(K$1),2) &amp;":"&amp; ADDRESS(ROW(),COLUMN(K$1),4))&lt;&gt;"")*(ROW(INDIRECT(ADDRESS(1,COLUMN(K$1),2) &amp;":"&amp; ADDRESS(ROW(),COLUMN(K$1),4)))))),239)</f>
        <v>171</v>
      </c>
      <c r="Q173" s="41" t="str">
        <f t="shared" ca="1" si="85"/>
        <v/>
      </c>
      <c r="R173" s="41" t="str">
        <f t="shared" ca="1" si="98"/>
        <v/>
      </c>
      <c r="S173" s="41" t="str">
        <f t="shared" ca="1" si="99"/>
        <v/>
      </c>
      <c r="T173" s="42" t="str">
        <f t="shared" ca="1" si="100"/>
        <v/>
      </c>
      <c r="U173" s="42" t="str">
        <f t="shared" ca="1" si="101"/>
        <v/>
      </c>
      <c r="V173" s="41">
        <f t="shared" ca="1" si="87"/>
        <v>1</v>
      </c>
      <c r="W173" s="45" t="str">
        <f t="shared" ca="1" si="86"/>
        <v>Appoggio!$A$11:$A$13</v>
      </c>
      <c r="X173" s="46" t="s">
        <v>365</v>
      </c>
      <c r="Y173" s="116"/>
      <c r="Z173" s="109"/>
    </row>
    <row r="174" spans="1:26" ht="14.25" customHeight="1">
      <c r="A174" s="166"/>
      <c r="B174" s="164"/>
      <c r="C174" s="205"/>
      <c r="D174" s="55" t="s">
        <v>18</v>
      </c>
      <c r="E174" s="76" t="s">
        <v>18</v>
      </c>
      <c r="F174" s="106" t="s">
        <v>18</v>
      </c>
      <c r="G174" s="165"/>
      <c r="H174" s="82" t="s">
        <v>126</v>
      </c>
      <c r="I174" s="83"/>
      <c r="J174" s="83"/>
      <c r="K174" s="184"/>
      <c r="L174" s="184"/>
      <c r="M174" s="39">
        <v>1</v>
      </c>
      <c r="N174" s="39">
        <f t="shared" si="97"/>
        <v>1</v>
      </c>
      <c r="O174" s="40" t="s">
        <v>21</v>
      </c>
      <c r="P174" s="41" cm="1">
        <f t="array" aca="1" ref="P174" ca="1">IF(F174&lt;&gt;"",SUMPRODUCT(MAX((INDIRECT(ADDRESS(1,COLUMN(K$1),2) &amp;":"&amp; ADDRESS(ROW(),COLUMN(K$1),4))&lt;&gt;"")*(ROW(INDIRECT(ADDRESS(1,COLUMN(K$1),2) &amp;":"&amp; ADDRESS(ROW(),COLUMN(K$1),4)))))),239)</f>
        <v>171</v>
      </c>
      <c r="Q174" s="41" t="str">
        <f t="shared" ca="1" si="85"/>
        <v/>
      </c>
      <c r="R174" s="41" t="str">
        <f t="shared" ca="1" si="98"/>
        <v/>
      </c>
      <c r="S174" s="41" t="str">
        <f t="shared" ca="1" si="99"/>
        <v/>
      </c>
      <c r="T174" s="42" t="str">
        <f t="shared" ca="1" si="100"/>
        <v/>
      </c>
      <c r="U174" s="42" t="str">
        <f t="shared" ca="1" si="101"/>
        <v/>
      </c>
      <c r="V174" s="41">
        <f t="shared" ca="1" si="87"/>
        <v>1</v>
      </c>
      <c r="W174" s="45" t="str">
        <f t="shared" ca="1" si="86"/>
        <v>Appoggio!$A$11:$A$13</v>
      </c>
      <c r="X174" s="46" t="s">
        <v>367</v>
      </c>
      <c r="Y174" s="116"/>
      <c r="Z174" s="109"/>
    </row>
    <row r="175" spans="1:26" ht="14.25" customHeight="1">
      <c r="A175" s="166"/>
      <c r="B175" s="164"/>
      <c r="C175" s="205"/>
      <c r="D175" s="55" t="s">
        <v>18</v>
      </c>
      <c r="E175" s="76" t="s">
        <v>18</v>
      </c>
      <c r="F175" s="106" t="s">
        <v>18</v>
      </c>
      <c r="G175" s="165"/>
      <c r="H175" s="82" t="s">
        <v>112</v>
      </c>
      <c r="I175" s="66" t="s">
        <v>131</v>
      </c>
      <c r="J175" s="75" t="s">
        <v>518</v>
      </c>
      <c r="K175" s="184"/>
      <c r="L175" s="184"/>
      <c r="M175" s="39">
        <v>2</v>
      </c>
      <c r="N175" s="39">
        <f t="shared" si="97"/>
        <v>2</v>
      </c>
      <c r="O175" s="40" t="s">
        <v>21</v>
      </c>
      <c r="P175" s="41" cm="1">
        <f t="array" aca="1" ref="P175" ca="1">IF(F175&lt;&gt;"",SUMPRODUCT(MAX((INDIRECT(ADDRESS(1,COLUMN(K$1),2) &amp;":"&amp; ADDRESS(ROW(),COLUMN(K$1),4))&lt;&gt;"")*(ROW(INDIRECT(ADDRESS(1,COLUMN(K$1),2) &amp;":"&amp; ADDRESS(ROW(),COLUMN(K$1),4)))))),239)</f>
        <v>171</v>
      </c>
      <c r="Q175" s="41" t="str">
        <f t="shared" ref="Q175:Q243" ca="1" si="102">IF(Y175&lt;&gt;"",VLOOKUP(Y175,INDIRECT(O175),2,0),"")</f>
        <v/>
      </c>
      <c r="R175" s="41" t="str">
        <f t="shared" ca="1" si="98"/>
        <v/>
      </c>
      <c r="S175" s="41" t="str">
        <f t="shared" ca="1" si="99"/>
        <v/>
      </c>
      <c r="T175" s="42" t="str">
        <f t="shared" ca="1" si="100"/>
        <v/>
      </c>
      <c r="U175" s="42" t="str">
        <f t="shared" ca="1" si="101"/>
        <v/>
      </c>
      <c r="V175" s="41">
        <f t="shared" ca="1" si="87"/>
        <v>1</v>
      </c>
      <c r="W175" s="45" t="str">
        <f t="shared" ca="1" si="86"/>
        <v>Appoggio!$A$11:$A$13</v>
      </c>
      <c r="X175" s="46" t="s">
        <v>368</v>
      </c>
      <c r="Y175" s="116"/>
      <c r="Z175" s="109"/>
    </row>
    <row r="176" spans="1:26" ht="14.25" customHeight="1">
      <c r="A176" s="166"/>
      <c r="B176" s="164"/>
      <c r="C176" s="205"/>
      <c r="D176" s="55" t="s">
        <v>18</v>
      </c>
      <c r="E176" s="76" t="s">
        <v>18</v>
      </c>
      <c r="F176" s="106" t="s">
        <v>18</v>
      </c>
      <c r="G176" s="165"/>
      <c r="H176" s="82" t="s">
        <v>132</v>
      </c>
      <c r="I176" s="66"/>
      <c r="J176" s="66"/>
      <c r="K176" s="184"/>
      <c r="L176" s="184"/>
      <c r="M176" s="39">
        <v>3</v>
      </c>
      <c r="N176" s="39">
        <f t="shared" si="97"/>
        <v>3</v>
      </c>
      <c r="O176" s="40" t="s">
        <v>21</v>
      </c>
      <c r="P176" s="41" cm="1">
        <f t="array" aca="1" ref="P176" ca="1">IF(F176&lt;&gt;"",SUMPRODUCT(MAX((INDIRECT(ADDRESS(1,COLUMN(K$1),2) &amp;":"&amp; ADDRESS(ROW(),COLUMN(K$1),4))&lt;&gt;"")*(ROW(INDIRECT(ADDRESS(1,COLUMN(K$1),2) &amp;":"&amp; ADDRESS(ROW(),COLUMN(K$1),4)))))),239)</f>
        <v>171</v>
      </c>
      <c r="Q176" s="41" t="str">
        <f t="shared" ca="1" si="102"/>
        <v/>
      </c>
      <c r="R176" s="41" t="str">
        <f t="shared" ca="1" si="98"/>
        <v/>
      </c>
      <c r="S176" s="41" t="str">
        <f t="shared" ca="1" si="99"/>
        <v/>
      </c>
      <c r="T176" s="42" t="str">
        <f t="shared" ca="1" si="100"/>
        <v/>
      </c>
      <c r="U176" s="42" t="str">
        <f t="shared" ca="1" si="101"/>
        <v/>
      </c>
      <c r="V176" s="41">
        <f t="shared" ca="1" si="87"/>
        <v>1</v>
      </c>
      <c r="W176" s="45" t="str">
        <f t="shared" ca="1" si="86"/>
        <v>Appoggio!$A$11:$A$13</v>
      </c>
      <c r="X176" s="46" t="s">
        <v>369</v>
      </c>
      <c r="Y176" s="116"/>
      <c r="Z176" s="109"/>
    </row>
    <row r="177" spans="1:26" ht="14.25" customHeight="1">
      <c r="A177" s="166"/>
      <c r="B177" s="164"/>
      <c r="C177" s="205"/>
      <c r="D177" s="55" t="s">
        <v>18</v>
      </c>
      <c r="E177" s="76" t="s">
        <v>18</v>
      </c>
      <c r="F177" s="106" t="s">
        <v>18</v>
      </c>
      <c r="G177" s="165"/>
      <c r="H177" s="82"/>
      <c r="I177" s="66"/>
      <c r="J177" s="66"/>
      <c r="K177" s="184"/>
      <c r="L177" s="184"/>
      <c r="M177" s="39">
        <v>1</v>
      </c>
      <c r="N177" s="39">
        <f t="shared" si="97"/>
        <v>1</v>
      </c>
      <c r="O177" s="40" t="s">
        <v>21</v>
      </c>
      <c r="P177" s="41" cm="1">
        <f t="array" aca="1" ref="P177" ca="1">IF(F177&lt;&gt;"",SUMPRODUCT(MAX((INDIRECT(ADDRESS(1,COLUMN(K$1),2) &amp;":"&amp; ADDRESS(ROW(),COLUMN(K$1),4))&lt;&gt;"")*(ROW(INDIRECT(ADDRESS(1,COLUMN(K$1),2) &amp;":"&amp; ADDRESS(ROW(),COLUMN(K$1),4)))))),239)</f>
        <v>171</v>
      </c>
      <c r="Q177" s="41" t="str">
        <f t="shared" ca="1" si="102"/>
        <v/>
      </c>
      <c r="R177" s="41" t="str">
        <f t="shared" ca="1" si="98"/>
        <v/>
      </c>
      <c r="S177" s="41" t="str">
        <f t="shared" ca="1" si="99"/>
        <v/>
      </c>
      <c r="T177" s="42" t="str">
        <f t="shared" ca="1" si="100"/>
        <v/>
      </c>
      <c r="U177" s="42" t="str">
        <f t="shared" ca="1" si="101"/>
        <v/>
      </c>
      <c r="V177" s="41">
        <f t="shared" ca="1" si="87"/>
        <v>1</v>
      </c>
      <c r="W177" s="45" t="str">
        <f t="shared" ca="1" si="86"/>
        <v>Appoggio!$A$11:$A$13</v>
      </c>
      <c r="X177" s="46" t="s">
        <v>363</v>
      </c>
      <c r="Y177" s="116"/>
      <c r="Z177" s="109"/>
    </row>
    <row r="178" spans="1:26" ht="14.25" customHeight="1">
      <c r="A178" s="166"/>
      <c r="B178" s="164"/>
      <c r="C178" s="206"/>
      <c r="D178" s="55" t="s">
        <v>18</v>
      </c>
      <c r="E178" s="76" t="s">
        <v>18</v>
      </c>
      <c r="F178" s="106" t="s">
        <v>18</v>
      </c>
      <c r="G178" s="165"/>
      <c r="H178" s="86" t="s">
        <v>134</v>
      </c>
      <c r="I178" s="84"/>
      <c r="J178" s="84"/>
      <c r="K178" s="184"/>
      <c r="L178" s="184"/>
      <c r="M178" s="47">
        <v>2</v>
      </c>
      <c r="N178" s="47">
        <f t="shared" si="97"/>
        <v>2</v>
      </c>
      <c r="O178" s="48" t="s">
        <v>21</v>
      </c>
      <c r="P178" s="49" cm="1">
        <f t="array" aca="1" ref="P178" ca="1">IF(F178&lt;&gt;"",SUMPRODUCT(MAX((INDIRECT(ADDRESS(1,COLUMN(K$1),2) &amp;":"&amp; ADDRESS(ROW(),COLUMN(K$1),4))&lt;&gt;"")*(ROW(INDIRECT(ADDRESS(1,COLUMN(K$1),2) &amp;":"&amp; ADDRESS(ROW(),COLUMN(K$1),4)))))),239)</f>
        <v>171</v>
      </c>
      <c r="Q178" s="50" t="str">
        <f t="shared" ca="1" si="102"/>
        <v/>
      </c>
      <c r="R178" s="50" t="str">
        <f t="shared" ca="1" si="98"/>
        <v/>
      </c>
      <c r="S178" s="50" t="str">
        <f t="shared" ca="1" si="99"/>
        <v/>
      </c>
      <c r="T178" s="51" t="str">
        <f t="shared" ca="1" si="100"/>
        <v/>
      </c>
      <c r="U178" s="51" t="str">
        <f t="shared" ca="1" si="101"/>
        <v/>
      </c>
      <c r="V178" s="50">
        <f t="shared" ca="1" si="87"/>
        <v>1</v>
      </c>
      <c r="W178" s="70" t="str">
        <f t="shared" ca="1" si="86"/>
        <v>Appoggio!$A$11:$A$13</v>
      </c>
      <c r="X178" s="52" t="s">
        <v>371</v>
      </c>
      <c r="Y178" s="117"/>
      <c r="Z178" s="110"/>
    </row>
    <row r="179" spans="1:26" ht="14.25" customHeight="1">
      <c r="A179" s="166"/>
      <c r="B179" s="164" t="s">
        <v>135</v>
      </c>
      <c r="C179" s="163" t="s">
        <v>373</v>
      </c>
      <c r="D179" s="55" t="s">
        <v>18</v>
      </c>
      <c r="E179" s="76" t="s">
        <v>18</v>
      </c>
      <c r="F179" s="106" t="s">
        <v>18</v>
      </c>
      <c r="G179" s="165" t="str">
        <f>IF(L179&gt;0,"✔","")</f>
        <v>✔</v>
      </c>
      <c r="H179" s="164" t="s">
        <v>124</v>
      </c>
      <c r="I179" s="155"/>
      <c r="J179" s="155"/>
      <c r="K179" s="184">
        <v>1</v>
      </c>
      <c r="L179" s="184">
        <f>IF(COUNTA(F179:F182)&lt;&gt;0,K179,0)</f>
        <v>1</v>
      </c>
      <c r="M179" s="60">
        <v>2</v>
      </c>
      <c r="N179" s="60">
        <f t="shared" si="97"/>
        <v>2</v>
      </c>
      <c r="O179" s="61" t="s">
        <v>21</v>
      </c>
      <c r="P179" s="41" cm="1">
        <f t="array" aca="1" ref="P179" ca="1">IF(F179&lt;&gt;"",SUMPRODUCT(MAX((INDIRECT(ADDRESS(1,COLUMN(K$1),2) &amp;":"&amp; ADDRESS(ROW(),COLUMN(K$1),4))&lt;&gt;"")*(ROW(INDIRECT(ADDRESS(1,COLUMN(K$1),2) &amp;":"&amp; ADDRESS(ROW(),COLUMN(K$1),4)))))),239)</f>
        <v>179</v>
      </c>
      <c r="Q179" s="41" t="str">
        <f t="shared" ca="1" si="102"/>
        <v/>
      </c>
      <c r="R179" s="41" t="str">
        <f t="shared" ca="1" si="98"/>
        <v/>
      </c>
      <c r="S179" s="41" t="str">
        <f t="shared" ca="1" si="99"/>
        <v/>
      </c>
      <c r="T179" s="63" t="str">
        <f t="shared" ca="1" si="100"/>
        <v/>
      </c>
      <c r="U179" s="63" t="str">
        <f t="shared" ca="1" si="101"/>
        <v/>
      </c>
      <c r="V179" s="64">
        <f t="shared" ca="1" si="87"/>
        <v>1</v>
      </c>
      <c r="W179" s="43" t="str">
        <f t="shared" ca="1" si="86"/>
        <v>Appoggio!$A$11:$A$13</v>
      </c>
      <c r="X179" s="65" t="s">
        <v>374</v>
      </c>
      <c r="Y179" s="118"/>
      <c r="Z179" s="111"/>
    </row>
    <row r="180" spans="1:26" ht="14.25" customHeight="1">
      <c r="A180" s="166"/>
      <c r="B180" s="164"/>
      <c r="C180" s="163"/>
      <c r="D180" s="55" t="s">
        <v>18</v>
      </c>
      <c r="E180" s="76" t="s">
        <v>18</v>
      </c>
      <c r="F180" s="106" t="s">
        <v>18</v>
      </c>
      <c r="G180" s="165"/>
      <c r="H180" s="164"/>
      <c r="I180" s="155"/>
      <c r="J180" s="155"/>
      <c r="K180" s="184"/>
      <c r="L180" s="184"/>
      <c r="M180" s="39">
        <v>1</v>
      </c>
      <c r="N180" s="39">
        <f t="shared" si="97"/>
        <v>1</v>
      </c>
      <c r="O180" s="40" t="s">
        <v>21</v>
      </c>
      <c r="P180" s="41" cm="1">
        <f t="array" aca="1" ref="P180" ca="1">IF(F180&lt;&gt;"",SUMPRODUCT(MAX((INDIRECT(ADDRESS(1,COLUMN(K$1),2) &amp;":"&amp; ADDRESS(ROW(),COLUMN(K$1),4))&lt;&gt;"")*(ROW(INDIRECT(ADDRESS(1,COLUMN(K$1),2) &amp;":"&amp; ADDRESS(ROW(),COLUMN(K$1),4)))))),239)</f>
        <v>179</v>
      </c>
      <c r="Q180" s="41" t="str">
        <f t="shared" ca="1" si="102"/>
        <v/>
      </c>
      <c r="R180" s="41" t="str">
        <f t="shared" ca="1" si="98"/>
        <v/>
      </c>
      <c r="S180" s="41" t="str">
        <f t="shared" ca="1" si="99"/>
        <v/>
      </c>
      <c r="T180" s="42" t="str">
        <f t="shared" ca="1" si="100"/>
        <v/>
      </c>
      <c r="U180" s="42" t="str">
        <f t="shared" ca="1" si="101"/>
        <v/>
      </c>
      <c r="V180" s="41">
        <f t="shared" ca="1" si="87"/>
        <v>1</v>
      </c>
      <c r="W180" s="45" t="str">
        <f t="shared" ca="1" si="86"/>
        <v>Appoggio!$A$11:$A$13</v>
      </c>
      <c r="X180" s="46" t="s">
        <v>375</v>
      </c>
      <c r="Y180" s="116"/>
      <c r="Z180" s="109"/>
    </row>
    <row r="181" spans="1:26" ht="14.25" customHeight="1">
      <c r="A181" s="166"/>
      <c r="B181" s="164"/>
      <c r="C181" s="163"/>
      <c r="D181" s="55" t="s">
        <v>18</v>
      </c>
      <c r="E181" s="76" t="s">
        <v>18</v>
      </c>
      <c r="F181" s="106" t="s">
        <v>18</v>
      </c>
      <c r="G181" s="165"/>
      <c r="H181" s="164"/>
      <c r="I181" s="155"/>
      <c r="J181" s="155"/>
      <c r="K181" s="184"/>
      <c r="L181" s="184"/>
      <c r="M181" s="39">
        <v>2</v>
      </c>
      <c r="N181" s="39">
        <f t="shared" si="97"/>
        <v>2</v>
      </c>
      <c r="O181" s="40" t="s">
        <v>21</v>
      </c>
      <c r="P181" s="41" cm="1">
        <f t="array" aca="1" ref="P181" ca="1">IF(F181&lt;&gt;"",SUMPRODUCT(MAX((INDIRECT(ADDRESS(1,COLUMN(K$1),2) &amp;":"&amp; ADDRESS(ROW(),COLUMN(K$1),4))&lt;&gt;"")*(ROW(INDIRECT(ADDRESS(1,COLUMN(K$1),2) &amp;":"&amp; ADDRESS(ROW(),COLUMN(K$1),4)))))),239)</f>
        <v>179</v>
      </c>
      <c r="Q181" s="41" t="str">
        <f t="shared" ca="1" si="102"/>
        <v/>
      </c>
      <c r="R181" s="41" t="str">
        <f t="shared" ca="1" si="98"/>
        <v/>
      </c>
      <c r="S181" s="41" t="str">
        <f t="shared" ca="1" si="99"/>
        <v/>
      </c>
      <c r="T181" s="42" t="str">
        <f t="shared" ca="1" si="100"/>
        <v/>
      </c>
      <c r="U181" s="42" t="str">
        <f t="shared" ca="1" si="101"/>
        <v/>
      </c>
      <c r="V181" s="41">
        <f t="shared" ca="1" si="87"/>
        <v>1</v>
      </c>
      <c r="W181" s="45" t="str">
        <f t="shared" ca="1" si="86"/>
        <v>Appoggio!$A$11:$A$13</v>
      </c>
      <c r="X181" s="46" t="s">
        <v>377</v>
      </c>
      <c r="Y181" s="116"/>
      <c r="Z181" s="109"/>
    </row>
    <row r="182" spans="1:26" ht="14.25" customHeight="1">
      <c r="A182" s="166"/>
      <c r="B182" s="164"/>
      <c r="C182" s="163"/>
      <c r="D182" s="55" t="s">
        <v>18</v>
      </c>
      <c r="E182" s="76" t="s">
        <v>18</v>
      </c>
      <c r="F182" s="106" t="s">
        <v>18</v>
      </c>
      <c r="G182" s="165"/>
      <c r="H182" s="164"/>
      <c r="I182" s="155"/>
      <c r="J182" s="155"/>
      <c r="K182" s="184"/>
      <c r="L182" s="184"/>
      <c r="M182" s="47">
        <v>3</v>
      </c>
      <c r="N182" s="47">
        <f t="shared" si="97"/>
        <v>3</v>
      </c>
      <c r="O182" s="48" t="s">
        <v>21</v>
      </c>
      <c r="P182" s="49" cm="1">
        <f t="array" aca="1" ref="P182" ca="1">IF(F182&lt;&gt;"",SUMPRODUCT(MAX((INDIRECT(ADDRESS(1,COLUMN(K$1),2) &amp;":"&amp; ADDRESS(ROW(),COLUMN(K$1),4))&lt;&gt;"")*(ROW(INDIRECT(ADDRESS(1,COLUMN(K$1),2) &amp;":"&amp; ADDRESS(ROW(),COLUMN(K$1),4)))))),239)</f>
        <v>179</v>
      </c>
      <c r="Q182" s="50" t="str">
        <f t="shared" ca="1" si="102"/>
        <v/>
      </c>
      <c r="R182" s="50" t="str">
        <f t="shared" ca="1" si="98"/>
        <v/>
      </c>
      <c r="S182" s="50" t="str">
        <f t="shared" ca="1" si="99"/>
        <v/>
      </c>
      <c r="T182" s="51" t="str">
        <f t="shared" ca="1" si="100"/>
        <v/>
      </c>
      <c r="U182" s="51" t="str">
        <f t="shared" ca="1" si="101"/>
        <v/>
      </c>
      <c r="V182" s="50">
        <f t="shared" ca="1" si="87"/>
        <v>1</v>
      </c>
      <c r="W182" s="70" t="str">
        <f t="shared" ca="1" si="86"/>
        <v>Appoggio!$A$11:$A$13</v>
      </c>
      <c r="X182" s="52" t="s">
        <v>376</v>
      </c>
      <c r="Y182" s="117"/>
      <c r="Z182" s="110"/>
    </row>
    <row r="183" spans="1:26" ht="42">
      <c r="A183" s="166"/>
      <c r="B183" s="164" t="s">
        <v>136</v>
      </c>
      <c r="C183" s="163" t="s">
        <v>378</v>
      </c>
      <c r="D183" s="55" t="s">
        <v>18</v>
      </c>
      <c r="E183" s="76" t="s">
        <v>18</v>
      </c>
      <c r="F183" s="106" t="s">
        <v>18</v>
      </c>
      <c r="G183" s="202" t="str">
        <f>IF(L183&gt;0,"✔","")</f>
        <v>✔</v>
      </c>
      <c r="H183" s="162" t="s">
        <v>137</v>
      </c>
      <c r="I183" s="73" t="s">
        <v>138</v>
      </c>
      <c r="J183" s="73" t="s">
        <v>519</v>
      </c>
      <c r="K183" s="185">
        <v>2</v>
      </c>
      <c r="L183" s="185">
        <f>IF(COUNTA(F183:F189)&lt;&gt;0,K183,0)</f>
        <v>2</v>
      </c>
      <c r="M183" s="60">
        <v>3</v>
      </c>
      <c r="N183" s="60">
        <f t="shared" si="97"/>
        <v>3</v>
      </c>
      <c r="O183" s="61" t="s">
        <v>21</v>
      </c>
      <c r="P183" s="41" cm="1">
        <f t="array" aca="1" ref="P183" ca="1">IF(F183&lt;&gt;"",SUMPRODUCT(MAX((INDIRECT(ADDRESS(1,COLUMN(K$1),2) &amp;":"&amp; ADDRESS(ROW(),COLUMN(K$1),4))&lt;&gt;"")*(ROW(INDIRECT(ADDRESS(1,COLUMN(K$1),2) &amp;":"&amp; ADDRESS(ROW(),COLUMN(K$1),4)))))),239)</f>
        <v>183</v>
      </c>
      <c r="Q183" s="41" t="str">
        <f t="shared" ca="1" si="102"/>
        <v/>
      </c>
      <c r="R183" s="41" t="str">
        <f t="shared" ca="1" si="98"/>
        <v/>
      </c>
      <c r="S183" s="41" t="str">
        <f t="shared" ca="1" si="99"/>
        <v/>
      </c>
      <c r="T183" s="63" t="str">
        <f t="shared" ca="1" si="100"/>
        <v/>
      </c>
      <c r="U183" s="63" t="str">
        <f t="shared" ca="1" si="101"/>
        <v/>
      </c>
      <c r="V183" s="64">
        <f t="shared" ca="1" si="87"/>
        <v>2</v>
      </c>
      <c r="W183" s="43" t="str">
        <f t="shared" ref="W183:W244" ca="1" si="103">ADDRESS(ROW(INDIRECT(O183)),COLUMN(INDIRECT(O183)),1,1,"Appoggio")&amp;":"&amp;ADDRESS(ROW(INDIRECT(O183))+ROWS(INDIRECT(O183))-1,COLUMN(INDIRECT(O183)),1,1)</f>
        <v>Appoggio!$A$11:$A$13</v>
      </c>
      <c r="X183" s="65" t="s">
        <v>565</v>
      </c>
      <c r="Y183" s="118"/>
      <c r="Z183" s="111"/>
    </row>
    <row r="184" spans="1:26" ht="28">
      <c r="A184" s="166"/>
      <c r="B184" s="164"/>
      <c r="C184" s="163"/>
      <c r="D184" s="55" t="s">
        <v>18</v>
      </c>
      <c r="E184" s="76" t="s">
        <v>18</v>
      </c>
      <c r="F184" s="106" t="s">
        <v>18</v>
      </c>
      <c r="G184" s="202"/>
      <c r="H184" s="162"/>
      <c r="I184" s="75" t="s">
        <v>139</v>
      </c>
      <c r="J184" s="75" t="s">
        <v>533</v>
      </c>
      <c r="K184" s="185"/>
      <c r="L184" s="185"/>
      <c r="M184" s="39">
        <v>3</v>
      </c>
      <c r="N184" s="39">
        <f t="shared" si="97"/>
        <v>3</v>
      </c>
      <c r="O184" s="40" t="s">
        <v>21</v>
      </c>
      <c r="P184" s="41" cm="1">
        <f t="array" aca="1" ref="P184" ca="1">IF(F184&lt;&gt;"",SUMPRODUCT(MAX((INDIRECT(ADDRESS(1,COLUMN(K$1),2) &amp;":"&amp; ADDRESS(ROW(),COLUMN(K$1),4))&lt;&gt;"")*(ROW(INDIRECT(ADDRESS(1,COLUMN(K$1),2) &amp;":"&amp; ADDRESS(ROW(),COLUMN(K$1),4)))))),239)</f>
        <v>183</v>
      </c>
      <c r="Q184" s="41" t="str">
        <f t="shared" ca="1" si="102"/>
        <v/>
      </c>
      <c r="R184" s="41" t="str">
        <f t="shared" ca="1" si="98"/>
        <v/>
      </c>
      <c r="S184" s="41" t="str">
        <f t="shared" ca="1" si="99"/>
        <v/>
      </c>
      <c r="T184" s="42" t="str">
        <f t="shared" ca="1" si="100"/>
        <v/>
      </c>
      <c r="U184" s="42" t="str">
        <f t="shared" ca="1" si="101"/>
        <v/>
      </c>
      <c r="V184" s="41">
        <f t="shared" ca="1" si="87"/>
        <v>2</v>
      </c>
      <c r="W184" s="45" t="str">
        <f t="shared" ca="1" si="103"/>
        <v>Appoggio!$A$11:$A$13</v>
      </c>
      <c r="X184" s="46" t="s">
        <v>379</v>
      </c>
      <c r="Y184" s="116"/>
      <c r="Z184" s="109"/>
    </row>
    <row r="185" spans="1:26" ht="21">
      <c r="A185" s="166"/>
      <c r="B185" s="164"/>
      <c r="C185" s="163"/>
      <c r="D185" s="55" t="s">
        <v>18</v>
      </c>
      <c r="E185" s="76" t="s">
        <v>18</v>
      </c>
      <c r="F185" s="106" t="s">
        <v>18</v>
      </c>
      <c r="G185" s="202"/>
      <c r="H185" s="162"/>
      <c r="I185" s="66"/>
      <c r="J185" s="66"/>
      <c r="K185" s="185"/>
      <c r="L185" s="185"/>
      <c r="M185" s="39">
        <v>3</v>
      </c>
      <c r="N185" s="39">
        <f t="shared" si="97"/>
        <v>3</v>
      </c>
      <c r="O185" s="40" t="s">
        <v>21</v>
      </c>
      <c r="P185" s="41" cm="1">
        <f t="array" aca="1" ref="P185" ca="1">IF(F185&lt;&gt;"",SUMPRODUCT(MAX((INDIRECT(ADDRESS(1,COLUMN(K$1),2) &amp;":"&amp; ADDRESS(ROW(),COLUMN(K$1),4))&lt;&gt;"")*(ROW(INDIRECT(ADDRESS(1,COLUMN(K$1),2) &amp;":"&amp; ADDRESS(ROW(),COLUMN(K$1),4)))))),239)</f>
        <v>183</v>
      </c>
      <c r="Q185" s="41" t="str">
        <f t="shared" ca="1" si="102"/>
        <v/>
      </c>
      <c r="R185" s="41" t="str">
        <f t="shared" ca="1" si="98"/>
        <v/>
      </c>
      <c r="S185" s="41" t="str">
        <f t="shared" ca="1" si="99"/>
        <v/>
      </c>
      <c r="T185" s="42" t="str">
        <f t="shared" ca="1" si="100"/>
        <v/>
      </c>
      <c r="U185" s="42" t="str">
        <f t="shared" ca="1" si="101"/>
        <v/>
      </c>
      <c r="V185" s="41">
        <f t="shared" ca="1" si="87"/>
        <v>2</v>
      </c>
      <c r="W185" s="45" t="str">
        <f t="shared" ca="1" si="103"/>
        <v>Appoggio!$A$11:$A$13</v>
      </c>
      <c r="X185" s="46" t="s">
        <v>384</v>
      </c>
      <c r="Y185" s="116"/>
      <c r="Z185" s="109"/>
    </row>
    <row r="186" spans="1:26" ht="56">
      <c r="A186" s="166"/>
      <c r="B186" s="164"/>
      <c r="C186" s="163"/>
      <c r="D186" s="55" t="s">
        <v>18</v>
      </c>
      <c r="E186" s="76" t="s">
        <v>18</v>
      </c>
      <c r="F186" s="106" t="s">
        <v>18</v>
      </c>
      <c r="G186" s="202"/>
      <c r="H186" s="162"/>
      <c r="I186" s="75" t="s">
        <v>520</v>
      </c>
      <c r="J186" s="75" t="s">
        <v>521</v>
      </c>
      <c r="K186" s="185"/>
      <c r="L186" s="185"/>
      <c r="M186" s="39">
        <v>3</v>
      </c>
      <c r="N186" s="39">
        <f t="shared" si="97"/>
        <v>3</v>
      </c>
      <c r="O186" s="40" t="s">
        <v>21</v>
      </c>
      <c r="P186" s="41" cm="1">
        <f t="array" aca="1" ref="P186" ca="1">IF(F186&lt;&gt;"",SUMPRODUCT(MAX((INDIRECT(ADDRESS(1,COLUMN(K$1),2) &amp;":"&amp; ADDRESS(ROW(),COLUMN(K$1),4))&lt;&gt;"")*(ROW(INDIRECT(ADDRESS(1,COLUMN(K$1),2) &amp;":"&amp; ADDRESS(ROW(),COLUMN(K$1),4)))))),239)</f>
        <v>183</v>
      </c>
      <c r="Q186" s="41" t="str">
        <f t="shared" ca="1" si="102"/>
        <v/>
      </c>
      <c r="R186" s="41" t="str">
        <f t="shared" ca="1" si="98"/>
        <v/>
      </c>
      <c r="S186" s="41" t="str">
        <f t="shared" ca="1" si="99"/>
        <v/>
      </c>
      <c r="T186" s="42" t="str">
        <f t="shared" ca="1" si="100"/>
        <v/>
      </c>
      <c r="U186" s="42" t="str">
        <f t="shared" ca="1" si="101"/>
        <v/>
      </c>
      <c r="V186" s="41">
        <f t="shared" ca="1" si="87"/>
        <v>2</v>
      </c>
      <c r="W186" s="45" t="str">
        <f t="shared" ca="1" si="103"/>
        <v>Appoggio!$A$11:$A$13</v>
      </c>
      <c r="X186" s="46" t="s">
        <v>380</v>
      </c>
      <c r="Y186" s="116"/>
      <c r="Z186" s="109"/>
    </row>
    <row r="187" spans="1:26" ht="28">
      <c r="A187" s="166"/>
      <c r="B187" s="164"/>
      <c r="C187" s="163"/>
      <c r="D187" s="55" t="s">
        <v>18</v>
      </c>
      <c r="E187" s="76" t="s">
        <v>18</v>
      </c>
      <c r="F187" s="106" t="s">
        <v>18</v>
      </c>
      <c r="G187" s="202"/>
      <c r="H187" s="162"/>
      <c r="I187" s="75" t="s">
        <v>140</v>
      </c>
      <c r="J187" s="75" t="s">
        <v>522</v>
      </c>
      <c r="K187" s="185"/>
      <c r="L187" s="185"/>
      <c r="M187" s="39">
        <v>2</v>
      </c>
      <c r="N187" s="39">
        <f t="shared" si="97"/>
        <v>2</v>
      </c>
      <c r="O187" s="40" t="s">
        <v>21</v>
      </c>
      <c r="P187" s="41" cm="1">
        <f t="array" aca="1" ref="P187" ca="1">IF(F187&lt;&gt;"",SUMPRODUCT(MAX((INDIRECT(ADDRESS(1,COLUMN(K$1),2) &amp;":"&amp; ADDRESS(ROW(),COLUMN(K$1),4))&lt;&gt;"")*(ROW(INDIRECT(ADDRESS(1,COLUMN(K$1),2) &amp;":"&amp; ADDRESS(ROW(),COLUMN(K$1),4)))))),239)</f>
        <v>183</v>
      </c>
      <c r="Q187" s="41" t="str">
        <f t="shared" ca="1" si="102"/>
        <v/>
      </c>
      <c r="R187" s="41" t="str">
        <f t="shared" ca="1" si="98"/>
        <v/>
      </c>
      <c r="S187" s="41" t="str">
        <f t="shared" ca="1" si="99"/>
        <v/>
      </c>
      <c r="T187" s="42" t="str">
        <f t="shared" ca="1" si="100"/>
        <v/>
      </c>
      <c r="U187" s="42" t="str">
        <f t="shared" ca="1" si="101"/>
        <v/>
      </c>
      <c r="V187" s="41">
        <f t="shared" ca="1" si="87"/>
        <v>2</v>
      </c>
      <c r="W187" s="45" t="str">
        <f t="shared" ca="1" si="103"/>
        <v>Appoggio!$A$11:$A$13</v>
      </c>
      <c r="X187" s="46" t="s">
        <v>381</v>
      </c>
      <c r="Y187" s="116"/>
      <c r="Z187" s="109"/>
    </row>
    <row r="188" spans="1:26" ht="14.25" customHeight="1">
      <c r="A188" s="166"/>
      <c r="B188" s="164"/>
      <c r="C188" s="163"/>
      <c r="D188" s="55" t="s">
        <v>18</v>
      </c>
      <c r="E188" s="76" t="s">
        <v>18</v>
      </c>
      <c r="F188" s="106" t="s">
        <v>18</v>
      </c>
      <c r="G188" s="202"/>
      <c r="H188" s="162"/>
      <c r="I188" s="66"/>
      <c r="J188" s="66"/>
      <c r="K188" s="185"/>
      <c r="L188" s="185"/>
      <c r="M188" s="39">
        <v>1</v>
      </c>
      <c r="N188" s="39">
        <f t="shared" si="97"/>
        <v>1</v>
      </c>
      <c r="O188" s="40" t="s">
        <v>21</v>
      </c>
      <c r="P188" s="41" cm="1">
        <f t="array" aca="1" ref="P188" ca="1">IF(F188&lt;&gt;"",SUMPRODUCT(MAX((INDIRECT(ADDRESS(1,COLUMN(K$1),2) &amp;":"&amp; ADDRESS(ROW(),COLUMN(K$1),4))&lt;&gt;"")*(ROW(INDIRECT(ADDRESS(1,COLUMN(K$1),2) &amp;":"&amp; ADDRESS(ROW(),COLUMN(K$1),4)))))),239)</f>
        <v>183</v>
      </c>
      <c r="Q188" s="41" t="str">
        <f t="shared" ca="1" si="102"/>
        <v/>
      </c>
      <c r="R188" s="41" t="str">
        <f t="shared" ca="1" si="98"/>
        <v/>
      </c>
      <c r="S188" s="41" t="str">
        <f t="shared" ca="1" si="99"/>
        <v/>
      </c>
      <c r="T188" s="42" t="str">
        <f t="shared" ca="1" si="100"/>
        <v/>
      </c>
      <c r="U188" s="42" t="str">
        <f t="shared" ca="1" si="101"/>
        <v/>
      </c>
      <c r="V188" s="41">
        <f t="shared" ca="1" si="87"/>
        <v>2</v>
      </c>
      <c r="W188" s="45" t="str">
        <f t="shared" ca="1" si="103"/>
        <v>Appoggio!$A$11:$A$13</v>
      </c>
      <c r="X188" s="46" t="s">
        <v>382</v>
      </c>
      <c r="Y188" s="116"/>
      <c r="Z188" s="109"/>
    </row>
    <row r="189" spans="1:26" ht="28">
      <c r="A189" s="166"/>
      <c r="B189" s="164"/>
      <c r="C189" s="163"/>
      <c r="D189" s="55" t="s">
        <v>18</v>
      </c>
      <c r="E189" s="76" t="s">
        <v>18</v>
      </c>
      <c r="F189" s="106" t="s">
        <v>18</v>
      </c>
      <c r="G189" s="202"/>
      <c r="H189" s="162"/>
      <c r="I189" s="84" t="s">
        <v>141</v>
      </c>
      <c r="J189" s="125" t="s">
        <v>523</v>
      </c>
      <c r="K189" s="185"/>
      <c r="L189" s="185"/>
      <c r="M189" s="47">
        <v>1</v>
      </c>
      <c r="N189" s="47">
        <f t="shared" si="97"/>
        <v>1</v>
      </c>
      <c r="O189" s="48" t="s">
        <v>21</v>
      </c>
      <c r="P189" s="49" cm="1">
        <f t="array" aca="1" ref="P189" ca="1">IF(F189&lt;&gt;"",SUMPRODUCT(MAX((INDIRECT(ADDRESS(1,COLUMN(K$1),2) &amp;":"&amp; ADDRESS(ROW(),COLUMN(K$1),4))&lt;&gt;"")*(ROW(INDIRECT(ADDRESS(1,COLUMN(K$1),2) &amp;":"&amp; ADDRESS(ROW(),COLUMN(K$1),4)))))),239)</f>
        <v>183</v>
      </c>
      <c r="Q189" s="50" t="str">
        <f t="shared" ca="1" si="102"/>
        <v/>
      </c>
      <c r="R189" s="50" t="str">
        <f t="shared" ca="1" si="98"/>
        <v/>
      </c>
      <c r="S189" s="50" t="str">
        <f t="shared" ca="1" si="99"/>
        <v/>
      </c>
      <c r="T189" s="51" t="str">
        <f t="shared" ca="1" si="100"/>
        <v/>
      </c>
      <c r="U189" s="51" t="str">
        <f t="shared" ca="1" si="101"/>
        <v/>
      </c>
      <c r="V189" s="50">
        <f t="shared" ca="1" si="87"/>
        <v>2</v>
      </c>
      <c r="W189" s="70" t="str">
        <f t="shared" ca="1" si="103"/>
        <v>Appoggio!$A$11:$A$13</v>
      </c>
      <c r="X189" s="52" t="s">
        <v>383</v>
      </c>
      <c r="Y189" s="117"/>
      <c r="Z189" s="110"/>
    </row>
    <row r="190" spans="1:26" ht="14.25" customHeight="1">
      <c r="A190" s="166"/>
      <c r="B190" s="164" t="s">
        <v>142</v>
      </c>
      <c r="C190" s="163" t="s">
        <v>385</v>
      </c>
      <c r="D190" s="55" t="s">
        <v>18</v>
      </c>
      <c r="E190" s="76" t="s">
        <v>18</v>
      </c>
      <c r="F190" s="106" t="s">
        <v>18</v>
      </c>
      <c r="G190" s="165" t="str">
        <f>IF(L190&gt;0,"✔","")</f>
        <v>✔</v>
      </c>
      <c r="H190" s="164" t="s">
        <v>143</v>
      </c>
      <c r="I190" s="153" t="s">
        <v>144</v>
      </c>
      <c r="J190" s="152" t="s">
        <v>558</v>
      </c>
      <c r="K190" s="184">
        <v>1</v>
      </c>
      <c r="L190" s="184">
        <f>IF(COUNTA(F190:F195)&lt;&gt;0,K190,0)</f>
        <v>1</v>
      </c>
      <c r="M190" s="60">
        <v>1</v>
      </c>
      <c r="N190" s="60">
        <f t="shared" si="97"/>
        <v>1</v>
      </c>
      <c r="O190" s="61" t="s">
        <v>21</v>
      </c>
      <c r="P190" s="41" cm="1">
        <f t="array" aca="1" ref="P190" ca="1">IF(F190&lt;&gt;"",SUMPRODUCT(MAX((INDIRECT(ADDRESS(1,COLUMN(K$1),2) &amp;":"&amp; ADDRESS(ROW(),COLUMN(K$1),4))&lt;&gt;"")*(ROW(INDIRECT(ADDRESS(1,COLUMN(K$1),2) &amp;":"&amp; ADDRESS(ROW(),COLUMN(K$1),4)))))),239)</f>
        <v>190</v>
      </c>
      <c r="Q190" s="41" t="str">
        <f t="shared" ca="1" si="102"/>
        <v/>
      </c>
      <c r="R190" s="41" t="str">
        <f t="shared" ca="1" si="98"/>
        <v/>
      </c>
      <c r="S190" s="41" t="str">
        <f t="shared" ca="1" si="99"/>
        <v/>
      </c>
      <c r="T190" s="62" t="str">
        <f t="shared" ca="1" si="100"/>
        <v/>
      </c>
      <c r="U190" s="63" t="str">
        <f t="shared" ca="1" si="101"/>
        <v/>
      </c>
      <c r="V190" s="64">
        <f t="shared" ca="1" si="87"/>
        <v>1</v>
      </c>
      <c r="W190" s="43" t="str">
        <f t="shared" ca="1" si="103"/>
        <v>Appoggio!$A$11:$A$13</v>
      </c>
      <c r="X190" s="65" t="s">
        <v>389</v>
      </c>
      <c r="Y190" s="118"/>
      <c r="Z190" s="111"/>
    </row>
    <row r="191" spans="1:26" ht="14.25" customHeight="1">
      <c r="A191" s="166"/>
      <c r="B191" s="164"/>
      <c r="C191" s="163"/>
      <c r="D191" s="55" t="s">
        <v>18</v>
      </c>
      <c r="E191" s="76" t="s">
        <v>18</v>
      </c>
      <c r="F191" s="106" t="s">
        <v>18</v>
      </c>
      <c r="G191" s="165"/>
      <c r="H191" s="164"/>
      <c r="I191" s="153"/>
      <c r="J191" s="153"/>
      <c r="K191" s="184"/>
      <c r="L191" s="184"/>
      <c r="M191" s="39">
        <v>2</v>
      </c>
      <c r="N191" s="39">
        <f t="shared" si="97"/>
        <v>2</v>
      </c>
      <c r="O191" s="40" t="s">
        <v>21</v>
      </c>
      <c r="P191" s="41" cm="1">
        <f t="array" aca="1" ref="P191" ca="1">IF(F191&lt;&gt;"",SUMPRODUCT(MAX((INDIRECT(ADDRESS(1,COLUMN(K$1),2) &amp;":"&amp; ADDRESS(ROW(),COLUMN(K$1),4))&lt;&gt;"")*(ROW(INDIRECT(ADDRESS(1,COLUMN(K$1),2) &amp;":"&amp; ADDRESS(ROW(),COLUMN(K$1),4)))))),239)</f>
        <v>190</v>
      </c>
      <c r="Q191" s="41" t="str">
        <f t="shared" ca="1" si="102"/>
        <v/>
      </c>
      <c r="R191" s="41" t="str">
        <f t="shared" ca="1" si="98"/>
        <v/>
      </c>
      <c r="S191" s="41" t="str">
        <f t="shared" ca="1" si="99"/>
        <v/>
      </c>
      <c r="T191" s="42" t="str">
        <f t="shared" ca="1" si="100"/>
        <v/>
      </c>
      <c r="U191" s="42" t="str">
        <f t="shared" ca="1" si="101"/>
        <v/>
      </c>
      <c r="V191" s="41">
        <f t="shared" ca="1" si="87"/>
        <v>1</v>
      </c>
      <c r="W191" s="45" t="str">
        <f t="shared" ca="1" si="103"/>
        <v>Appoggio!$A$11:$A$13</v>
      </c>
      <c r="X191" s="46" t="s">
        <v>386</v>
      </c>
      <c r="Y191" s="116"/>
      <c r="Z191" s="109"/>
    </row>
    <row r="192" spans="1:26" ht="14.25" customHeight="1">
      <c r="A192" s="166"/>
      <c r="B192" s="164"/>
      <c r="C192" s="163"/>
      <c r="D192" s="55" t="s">
        <v>18</v>
      </c>
      <c r="E192" s="76" t="s">
        <v>18</v>
      </c>
      <c r="F192" s="106" t="s">
        <v>18</v>
      </c>
      <c r="G192" s="165"/>
      <c r="H192" s="164"/>
      <c r="I192" s="153"/>
      <c r="J192" s="153"/>
      <c r="K192" s="184"/>
      <c r="L192" s="184"/>
      <c r="M192" s="39">
        <v>3</v>
      </c>
      <c r="N192" s="39">
        <f t="shared" si="97"/>
        <v>3</v>
      </c>
      <c r="O192" s="40" t="s">
        <v>21</v>
      </c>
      <c r="P192" s="41" cm="1">
        <f t="array" aca="1" ref="P192" ca="1">IF(F192&lt;&gt;"",SUMPRODUCT(MAX((INDIRECT(ADDRESS(1,COLUMN(K$1),2) &amp;":"&amp; ADDRESS(ROW(),COLUMN(K$1),4))&lt;&gt;"")*(ROW(INDIRECT(ADDRESS(1,COLUMN(K$1),2) &amp;":"&amp; ADDRESS(ROW(),COLUMN(K$1),4)))))),239)</f>
        <v>190</v>
      </c>
      <c r="Q192" s="41" t="str">
        <f t="shared" ca="1" si="102"/>
        <v/>
      </c>
      <c r="R192" s="41" t="str">
        <f t="shared" ca="1" si="98"/>
        <v/>
      </c>
      <c r="S192" s="41" t="str">
        <f t="shared" ca="1" si="99"/>
        <v/>
      </c>
      <c r="T192" s="42" t="str">
        <f t="shared" ca="1" si="100"/>
        <v/>
      </c>
      <c r="U192" s="42" t="str">
        <f t="shared" ca="1" si="101"/>
        <v/>
      </c>
      <c r="V192" s="41">
        <f t="shared" ca="1" si="87"/>
        <v>1</v>
      </c>
      <c r="W192" s="45" t="str">
        <f t="shared" ca="1" si="103"/>
        <v>Appoggio!$A$11:$A$13</v>
      </c>
      <c r="X192" s="46" t="s">
        <v>387</v>
      </c>
      <c r="Y192" s="116"/>
      <c r="Z192" s="109"/>
    </row>
    <row r="193" spans="1:26" ht="14.25" customHeight="1">
      <c r="A193" s="166"/>
      <c r="B193" s="164"/>
      <c r="C193" s="163"/>
      <c r="D193" s="55" t="s">
        <v>18</v>
      </c>
      <c r="E193" s="76" t="s">
        <v>18</v>
      </c>
      <c r="F193" s="106" t="s">
        <v>18</v>
      </c>
      <c r="G193" s="165"/>
      <c r="H193" s="164"/>
      <c r="I193" s="153"/>
      <c r="J193" s="153"/>
      <c r="K193" s="184"/>
      <c r="L193" s="184"/>
      <c r="M193" s="39">
        <v>3</v>
      </c>
      <c r="N193" s="39">
        <f t="shared" si="97"/>
        <v>3</v>
      </c>
      <c r="O193" s="40" t="s">
        <v>21</v>
      </c>
      <c r="P193" s="41" cm="1">
        <f t="array" aca="1" ref="P193" ca="1">IF(F193&lt;&gt;"",SUMPRODUCT(MAX((INDIRECT(ADDRESS(1,COLUMN(K$1),2) &amp;":"&amp; ADDRESS(ROW(),COLUMN(K$1),4))&lt;&gt;"")*(ROW(INDIRECT(ADDRESS(1,COLUMN(K$1),2) &amp;":"&amp; ADDRESS(ROW(),COLUMN(K$1),4)))))),239)</f>
        <v>190</v>
      </c>
      <c r="Q193" s="41" t="str">
        <f t="shared" ca="1" si="102"/>
        <v/>
      </c>
      <c r="R193" s="41" t="str">
        <f t="shared" ca="1" si="98"/>
        <v/>
      </c>
      <c r="S193" s="41" t="str">
        <f t="shared" ca="1" si="99"/>
        <v/>
      </c>
      <c r="T193" s="42" t="str">
        <f t="shared" ca="1" si="100"/>
        <v/>
      </c>
      <c r="U193" s="42" t="str">
        <f t="shared" ca="1" si="101"/>
        <v/>
      </c>
      <c r="V193" s="41">
        <f t="shared" ca="1" si="87"/>
        <v>1</v>
      </c>
      <c r="W193" s="45" t="str">
        <f t="shared" ca="1" si="103"/>
        <v>Appoggio!$A$11:$A$13</v>
      </c>
      <c r="X193" s="46" t="s">
        <v>388</v>
      </c>
      <c r="Y193" s="116"/>
      <c r="Z193" s="109"/>
    </row>
    <row r="194" spans="1:26" ht="14.25" customHeight="1">
      <c r="A194" s="166"/>
      <c r="B194" s="164"/>
      <c r="C194" s="163"/>
      <c r="D194" s="55" t="s">
        <v>18</v>
      </c>
      <c r="E194" s="76" t="s">
        <v>18</v>
      </c>
      <c r="F194" s="106" t="s">
        <v>18</v>
      </c>
      <c r="G194" s="165"/>
      <c r="H194" s="164"/>
      <c r="I194" s="153"/>
      <c r="J194" s="153"/>
      <c r="K194" s="184"/>
      <c r="L194" s="184"/>
      <c r="M194" s="127">
        <v>2</v>
      </c>
      <c r="N194" s="39">
        <f t="shared" ref="N194" si="104">IF(F194&lt;&gt;"",M194,0)</f>
        <v>2</v>
      </c>
      <c r="O194" s="128" t="s">
        <v>21</v>
      </c>
      <c r="P194" s="41" cm="1">
        <f t="array" aca="1" ref="P194" ca="1">IF(F194&lt;&gt;"",SUMPRODUCT(MAX((INDIRECT(ADDRESS(1,COLUMN(K$1),2) &amp;":"&amp; ADDRESS(ROW(),COLUMN(K$1),4))&lt;&gt;"")*(ROW(INDIRECT(ADDRESS(1,COLUMN(K$1),2) &amp;":"&amp; ADDRESS(ROW(),COLUMN(K$1),4)))))),239)</f>
        <v>190</v>
      </c>
      <c r="Q194" s="41" t="str">
        <f t="shared" ref="Q194" ca="1" si="105">IF(Y194&lt;&gt;"",VLOOKUP(Y194,INDIRECT(O194),2,0),"")</f>
        <v/>
      </c>
      <c r="R194" s="41" t="str">
        <f t="shared" ref="R194" ca="1" si="106">IF(Q194&lt;&gt;"",IF(F194&lt;&gt;"",Q194*M194,0),"")</f>
        <v/>
      </c>
      <c r="S194" s="41" t="str">
        <f t="shared" ref="S194" ca="1" si="107">IF(R194&lt;&gt;"",IF(R194&lt;&gt;0,R194*INDIRECT(ADDRESS(P194,COLUMN(K$1),4,)),0),"")</f>
        <v/>
      </c>
      <c r="T194" s="42" t="str">
        <f t="shared" ref="T194" ca="1" si="108">IF(R194&lt;&gt;"",R194/SUMIFS(M$3:M$253,P$3:P$253,P194),"")</f>
        <v/>
      </c>
      <c r="U194" s="42" t="str">
        <f t="shared" ref="U194" ca="1" si="109">IF(R194&lt;&gt;"",SUMIFS(T$3:T$253,P$3:P$253,P194),"")</f>
        <v/>
      </c>
      <c r="V194" s="41">
        <f t="shared" ref="V194" ca="1" si="110">IFERROR(INDEX(K:K,P194),0)</f>
        <v>1</v>
      </c>
      <c r="W194" s="45" t="str">
        <f t="shared" ref="W194" ca="1" si="111">ADDRESS(ROW(INDIRECT(O194)),COLUMN(INDIRECT(O194)),1,1,"Appoggio")&amp;":"&amp;ADDRESS(ROW(INDIRECT(O194))+ROWS(INDIRECT(O194))-1,COLUMN(INDIRECT(O194)),1,1)</f>
        <v>Appoggio!$A$11:$A$13</v>
      </c>
      <c r="X194" s="138" t="s">
        <v>557</v>
      </c>
      <c r="Y194" s="133"/>
      <c r="Z194" s="113"/>
    </row>
    <row r="195" spans="1:26" ht="14.25" customHeight="1">
      <c r="A195" s="166"/>
      <c r="B195" s="164"/>
      <c r="C195" s="163"/>
      <c r="D195" s="55" t="s">
        <v>18</v>
      </c>
      <c r="E195" s="76" t="s">
        <v>18</v>
      </c>
      <c r="F195" s="106" t="s">
        <v>18</v>
      </c>
      <c r="G195" s="165"/>
      <c r="H195" s="164"/>
      <c r="I195" s="153"/>
      <c r="J195" s="153"/>
      <c r="K195" s="184"/>
      <c r="L195" s="184"/>
      <c r="M195" s="47">
        <v>2</v>
      </c>
      <c r="N195" s="47">
        <f t="shared" si="97"/>
        <v>2</v>
      </c>
      <c r="O195" s="48" t="s">
        <v>21</v>
      </c>
      <c r="P195" s="49" cm="1">
        <f t="array" aca="1" ref="P195" ca="1">IF(F195&lt;&gt;"",SUMPRODUCT(MAX((INDIRECT(ADDRESS(1,COLUMN(K$1),2) &amp;":"&amp; ADDRESS(ROW(),COLUMN(K$1),4))&lt;&gt;"")*(ROW(INDIRECT(ADDRESS(1,COLUMN(K$1),2) &amp;":"&amp; ADDRESS(ROW(),COLUMN(K$1),4)))))),239)</f>
        <v>190</v>
      </c>
      <c r="Q195" s="50" t="str">
        <f t="shared" ca="1" si="102"/>
        <v/>
      </c>
      <c r="R195" s="50" t="str">
        <f t="shared" ca="1" si="98"/>
        <v/>
      </c>
      <c r="S195" s="50" t="str">
        <f t="shared" ca="1" si="99"/>
        <v/>
      </c>
      <c r="T195" s="51" t="str">
        <f t="shared" ref="T195:T214" ca="1" si="112">IF(R195&lt;&gt;"",R195/SUMIFS(M$3:M$253,P$3:P$253,P195),"")</f>
        <v/>
      </c>
      <c r="U195" s="51" t="str">
        <f t="shared" ref="U195:U214" ca="1" si="113">IF(R195&lt;&gt;"",SUMIFS(T$3:T$253,P$3:P$253,P195),"")</f>
        <v/>
      </c>
      <c r="V195" s="50">
        <f t="shared" ref="V195:V253" ca="1" si="114">IFERROR(INDEX(K:K,P195),0)</f>
        <v>1</v>
      </c>
      <c r="W195" s="70" t="str">
        <f t="shared" ca="1" si="103"/>
        <v>Appoggio!$A$11:$A$13</v>
      </c>
      <c r="X195" s="52" t="s">
        <v>390</v>
      </c>
      <c r="Y195" s="117"/>
      <c r="Z195" s="110"/>
    </row>
    <row r="196" spans="1:26" ht="14.25" customHeight="1">
      <c r="A196" s="166"/>
      <c r="B196" s="164" t="s">
        <v>145</v>
      </c>
      <c r="C196" s="163" t="s">
        <v>391</v>
      </c>
      <c r="D196" s="55" t="s">
        <v>18</v>
      </c>
      <c r="E196" s="67"/>
      <c r="F196" s="106" t="s">
        <v>18</v>
      </c>
      <c r="G196" s="202" t="str">
        <f>IF(L196&gt;0,"✔","")</f>
        <v>✔</v>
      </c>
      <c r="H196" s="164" t="s">
        <v>146</v>
      </c>
      <c r="I196" s="152" t="s">
        <v>147</v>
      </c>
      <c r="J196" s="152" t="s">
        <v>525</v>
      </c>
      <c r="K196" s="185">
        <v>1</v>
      </c>
      <c r="L196" s="185">
        <f>IF(COUNTA(F196:F197)&lt;&gt;0,K196,0)</f>
        <v>1</v>
      </c>
      <c r="M196" s="60">
        <v>3</v>
      </c>
      <c r="N196" s="60">
        <f t="shared" si="97"/>
        <v>3</v>
      </c>
      <c r="O196" s="61" t="s">
        <v>21</v>
      </c>
      <c r="P196" s="41" cm="1">
        <f t="array" aca="1" ref="P196" ca="1">IF(F196&lt;&gt;"",SUMPRODUCT(MAX((INDIRECT(ADDRESS(1,COLUMN(K$1),2) &amp;":"&amp; ADDRESS(ROW(),COLUMN(K$1),4))&lt;&gt;"")*(ROW(INDIRECT(ADDRESS(1,COLUMN(K$1),2) &amp;":"&amp; ADDRESS(ROW(),COLUMN(K$1),4)))))),239)</f>
        <v>196</v>
      </c>
      <c r="Q196" s="41" t="str">
        <f t="shared" ca="1" si="102"/>
        <v/>
      </c>
      <c r="R196" s="41" t="str">
        <f t="shared" ca="1" si="98"/>
        <v/>
      </c>
      <c r="S196" s="41" t="str">
        <f t="shared" ca="1" si="99"/>
        <v/>
      </c>
      <c r="T196" s="63" t="str">
        <f t="shared" ca="1" si="112"/>
        <v/>
      </c>
      <c r="U196" s="63" t="str">
        <f t="shared" ca="1" si="113"/>
        <v/>
      </c>
      <c r="V196" s="64">
        <f t="shared" ca="1" si="114"/>
        <v>1</v>
      </c>
      <c r="W196" s="43" t="str">
        <f t="shared" ca="1" si="103"/>
        <v>Appoggio!$A$11:$A$13</v>
      </c>
      <c r="X196" s="65" t="s">
        <v>392</v>
      </c>
      <c r="Y196" s="118"/>
      <c r="Z196" s="111"/>
    </row>
    <row r="197" spans="1:26" ht="14.25" customHeight="1">
      <c r="A197" s="166"/>
      <c r="B197" s="164"/>
      <c r="C197" s="163"/>
      <c r="D197" s="55" t="s">
        <v>18</v>
      </c>
      <c r="E197" s="67"/>
      <c r="F197" s="106" t="s">
        <v>18</v>
      </c>
      <c r="G197" s="202"/>
      <c r="H197" s="164"/>
      <c r="I197" s="152"/>
      <c r="J197" s="152"/>
      <c r="K197" s="185"/>
      <c r="L197" s="185"/>
      <c r="M197" s="39">
        <v>1</v>
      </c>
      <c r="N197" s="39">
        <f t="shared" si="97"/>
        <v>1</v>
      </c>
      <c r="O197" s="40" t="s">
        <v>21</v>
      </c>
      <c r="P197" s="49" cm="1">
        <f t="array" aca="1" ref="P197" ca="1">IF(F197&lt;&gt;"",SUMPRODUCT(MAX((INDIRECT(ADDRESS(1,COLUMN(K$1),2) &amp;":"&amp; ADDRESS(ROW(),COLUMN(K$1),4))&lt;&gt;"")*(ROW(INDIRECT(ADDRESS(1,COLUMN(K$1),2) &amp;":"&amp; ADDRESS(ROW(),COLUMN(K$1),4)))))),239)</f>
        <v>196</v>
      </c>
      <c r="Q197" s="50" t="str">
        <f t="shared" ca="1" si="102"/>
        <v/>
      </c>
      <c r="R197" s="50" t="str">
        <f t="shared" ca="1" si="98"/>
        <v/>
      </c>
      <c r="S197" s="50" t="str">
        <f t="shared" ca="1" si="99"/>
        <v/>
      </c>
      <c r="T197" s="51" t="str">
        <f t="shared" ca="1" si="112"/>
        <v/>
      </c>
      <c r="U197" s="42" t="str">
        <f t="shared" ca="1" si="113"/>
        <v/>
      </c>
      <c r="V197" s="41">
        <f t="shared" ca="1" si="114"/>
        <v>1</v>
      </c>
      <c r="W197" s="45" t="str">
        <f t="shared" ca="1" si="103"/>
        <v>Appoggio!$A$11:$A$13</v>
      </c>
      <c r="X197" s="46" t="s">
        <v>393</v>
      </c>
      <c r="Y197" s="117"/>
      <c r="Z197" s="109"/>
    </row>
    <row r="198" spans="1:26" ht="14.25" customHeight="1">
      <c r="A198" s="166"/>
      <c r="B198" s="164" t="s">
        <v>148</v>
      </c>
      <c r="C198" s="163" t="s">
        <v>394</v>
      </c>
      <c r="D198" s="55" t="s">
        <v>18</v>
      </c>
      <c r="E198" s="76" t="s">
        <v>18</v>
      </c>
      <c r="F198" s="106" t="s">
        <v>18</v>
      </c>
      <c r="G198" s="165" t="str">
        <f>IF(L198&gt;0,"✔","")</f>
        <v>✔</v>
      </c>
      <c r="H198" s="164" t="s">
        <v>149</v>
      </c>
      <c r="I198" s="155"/>
      <c r="J198" s="155"/>
      <c r="K198" s="184">
        <v>1</v>
      </c>
      <c r="L198" s="184">
        <f>IF(COUNTA(F198:F201)&lt;&gt;0,K198,0)</f>
        <v>1</v>
      </c>
      <c r="M198" s="60">
        <v>3</v>
      </c>
      <c r="N198" s="60">
        <f t="shared" si="97"/>
        <v>3</v>
      </c>
      <c r="O198" s="61" t="s">
        <v>21</v>
      </c>
      <c r="P198" s="41" cm="1">
        <f t="array" aca="1" ref="P198" ca="1">IF(F198&lt;&gt;"",SUMPRODUCT(MAX((INDIRECT(ADDRESS(1,COLUMN(K$1),2) &amp;":"&amp; ADDRESS(ROW(),COLUMN(K$1),4))&lt;&gt;"")*(ROW(INDIRECT(ADDRESS(1,COLUMN(K$1),2) &amp;":"&amp; ADDRESS(ROW(),COLUMN(K$1),4)))))),239)</f>
        <v>198</v>
      </c>
      <c r="Q198" s="41" t="str">
        <f t="shared" ca="1" si="102"/>
        <v/>
      </c>
      <c r="R198" s="41" t="str">
        <f t="shared" ca="1" si="98"/>
        <v/>
      </c>
      <c r="S198" s="41" t="str">
        <f t="shared" ca="1" si="99"/>
        <v/>
      </c>
      <c r="T198" s="62" t="str">
        <f t="shared" ca="1" si="112"/>
        <v/>
      </c>
      <c r="U198" s="63" t="str">
        <f t="shared" ca="1" si="113"/>
        <v/>
      </c>
      <c r="V198" s="64">
        <f t="shared" ca="1" si="114"/>
        <v>1</v>
      </c>
      <c r="W198" s="43" t="str">
        <f t="shared" ca="1" si="103"/>
        <v>Appoggio!$A$11:$A$13</v>
      </c>
      <c r="X198" s="65" t="s">
        <v>395</v>
      </c>
      <c r="Y198" s="118"/>
      <c r="Z198" s="111"/>
    </row>
    <row r="199" spans="1:26" ht="13.25" customHeight="1">
      <c r="A199" s="166"/>
      <c r="B199" s="164"/>
      <c r="C199" s="163"/>
      <c r="D199" s="55" t="s">
        <v>18</v>
      </c>
      <c r="E199" s="76" t="s">
        <v>18</v>
      </c>
      <c r="F199" s="106" t="s">
        <v>18</v>
      </c>
      <c r="G199" s="165"/>
      <c r="H199" s="164"/>
      <c r="I199" s="155"/>
      <c r="J199" s="155"/>
      <c r="K199" s="184"/>
      <c r="L199" s="184"/>
      <c r="M199" s="39">
        <v>1</v>
      </c>
      <c r="N199" s="39">
        <f t="shared" si="97"/>
        <v>1</v>
      </c>
      <c r="O199" s="40" t="s">
        <v>21</v>
      </c>
      <c r="P199" s="41" cm="1">
        <f t="array" aca="1" ref="P199" ca="1">IF(F199&lt;&gt;"",SUMPRODUCT(MAX((INDIRECT(ADDRESS(1,COLUMN(K$1),2) &amp;":"&amp; ADDRESS(ROW(),COLUMN(K$1),4))&lt;&gt;"")*(ROW(INDIRECT(ADDRESS(1,COLUMN(K$1),2) &amp;":"&amp; ADDRESS(ROW(),COLUMN(K$1),4)))))),239)</f>
        <v>198</v>
      </c>
      <c r="Q199" s="41" t="str">
        <f t="shared" ca="1" si="102"/>
        <v/>
      </c>
      <c r="R199" s="41" t="str">
        <f t="shared" ca="1" si="98"/>
        <v/>
      </c>
      <c r="S199" s="41" t="str">
        <f t="shared" ca="1" si="99"/>
        <v/>
      </c>
      <c r="T199" s="42" t="str">
        <f t="shared" ca="1" si="112"/>
        <v/>
      </c>
      <c r="U199" s="42" t="str">
        <f t="shared" ca="1" si="113"/>
        <v/>
      </c>
      <c r="V199" s="41">
        <f t="shared" ca="1" si="114"/>
        <v>1</v>
      </c>
      <c r="W199" s="45" t="str">
        <f t="shared" ca="1" si="103"/>
        <v>Appoggio!$A$11:$A$13</v>
      </c>
      <c r="X199" s="46" t="s">
        <v>396</v>
      </c>
      <c r="Y199" s="116"/>
      <c r="Z199" s="109"/>
    </row>
    <row r="200" spans="1:26" ht="14.25" customHeight="1">
      <c r="A200" s="166"/>
      <c r="B200" s="164"/>
      <c r="C200" s="163"/>
      <c r="D200" s="55" t="s">
        <v>18</v>
      </c>
      <c r="E200" s="76" t="s">
        <v>18</v>
      </c>
      <c r="F200" s="106" t="s">
        <v>18</v>
      </c>
      <c r="G200" s="165"/>
      <c r="H200" s="164"/>
      <c r="I200" s="155"/>
      <c r="J200" s="155"/>
      <c r="K200" s="184"/>
      <c r="L200" s="184"/>
      <c r="M200" s="39">
        <v>1</v>
      </c>
      <c r="N200" s="39">
        <f t="shared" si="97"/>
        <v>1</v>
      </c>
      <c r="O200" s="40" t="s">
        <v>21</v>
      </c>
      <c r="P200" s="41" cm="1">
        <f t="array" aca="1" ref="P200" ca="1">IF(F200&lt;&gt;"",SUMPRODUCT(MAX((INDIRECT(ADDRESS(1,COLUMN(K$1),2) &amp;":"&amp; ADDRESS(ROW(),COLUMN(K$1),4))&lt;&gt;"")*(ROW(INDIRECT(ADDRESS(1,COLUMN(K$1),2) &amp;":"&amp; ADDRESS(ROW(),COLUMN(K$1),4)))))),239)</f>
        <v>198</v>
      </c>
      <c r="Q200" s="41" t="str">
        <f t="shared" ca="1" si="102"/>
        <v/>
      </c>
      <c r="R200" s="41" t="str">
        <f t="shared" ca="1" si="98"/>
        <v/>
      </c>
      <c r="S200" s="41" t="str">
        <f t="shared" ca="1" si="99"/>
        <v/>
      </c>
      <c r="T200" s="42" t="str">
        <f t="shared" ca="1" si="112"/>
        <v/>
      </c>
      <c r="U200" s="42" t="str">
        <f t="shared" ca="1" si="113"/>
        <v/>
      </c>
      <c r="V200" s="41">
        <f t="shared" ca="1" si="114"/>
        <v>1</v>
      </c>
      <c r="W200" s="45" t="str">
        <f t="shared" ca="1" si="103"/>
        <v>Appoggio!$A$11:$A$13</v>
      </c>
      <c r="X200" s="46" t="s">
        <v>397</v>
      </c>
      <c r="Y200" s="116"/>
      <c r="Z200" s="109"/>
    </row>
    <row r="201" spans="1:26" ht="14.25" customHeight="1">
      <c r="A201" s="166"/>
      <c r="B201" s="164"/>
      <c r="C201" s="163"/>
      <c r="D201" s="55" t="s">
        <v>18</v>
      </c>
      <c r="E201" s="76" t="s">
        <v>18</v>
      </c>
      <c r="F201" s="106" t="s">
        <v>18</v>
      </c>
      <c r="G201" s="165"/>
      <c r="H201" s="164"/>
      <c r="I201" s="155"/>
      <c r="J201" s="155"/>
      <c r="K201" s="184"/>
      <c r="L201" s="184"/>
      <c r="M201" s="39">
        <v>2</v>
      </c>
      <c r="N201" s="39">
        <f t="shared" si="97"/>
        <v>2</v>
      </c>
      <c r="O201" s="40" t="s">
        <v>21</v>
      </c>
      <c r="P201" s="49" cm="1">
        <f t="array" aca="1" ref="P201" ca="1">IF(F201&lt;&gt;"",SUMPRODUCT(MAX((INDIRECT(ADDRESS(1,COLUMN(K$1),2) &amp;":"&amp; ADDRESS(ROW(),COLUMN(K$1),4))&lt;&gt;"")*(ROW(INDIRECT(ADDRESS(1,COLUMN(K$1),2) &amp;":"&amp; ADDRESS(ROW(),COLUMN(K$1),4)))))),239)</f>
        <v>198</v>
      </c>
      <c r="Q201" s="50" t="str">
        <f t="shared" ca="1" si="102"/>
        <v/>
      </c>
      <c r="R201" s="50" t="str">
        <f t="shared" ca="1" si="98"/>
        <v/>
      </c>
      <c r="S201" s="50" t="str">
        <f t="shared" ca="1" si="99"/>
        <v/>
      </c>
      <c r="T201" s="51" t="str">
        <f t="shared" ca="1" si="112"/>
        <v/>
      </c>
      <c r="U201" s="42" t="str">
        <f t="shared" ca="1" si="113"/>
        <v/>
      </c>
      <c r="V201" s="41">
        <f t="shared" ca="1" si="114"/>
        <v>1</v>
      </c>
      <c r="W201" s="45" t="str">
        <f t="shared" ca="1" si="103"/>
        <v>Appoggio!$A$11:$A$13</v>
      </c>
      <c r="X201" s="46" t="s">
        <v>398</v>
      </c>
      <c r="Y201" s="117"/>
      <c r="Z201" s="109"/>
    </row>
    <row r="202" spans="1:26" ht="14.25" customHeight="1">
      <c r="A202" s="166"/>
      <c r="B202" s="164" t="s">
        <v>150</v>
      </c>
      <c r="C202" s="163" t="s">
        <v>399</v>
      </c>
      <c r="D202" s="55" t="s">
        <v>18</v>
      </c>
      <c r="E202" s="76" t="s">
        <v>18</v>
      </c>
      <c r="F202" s="106" t="s">
        <v>18</v>
      </c>
      <c r="G202" s="165" t="str">
        <f>IF(L202&gt;0,"✔","")</f>
        <v>✔</v>
      </c>
      <c r="H202" s="164" t="s">
        <v>151</v>
      </c>
      <c r="I202" s="71" t="s">
        <v>30</v>
      </c>
      <c r="J202" s="71" t="s">
        <v>482</v>
      </c>
      <c r="K202" s="184">
        <v>1</v>
      </c>
      <c r="L202" s="184">
        <f>IF(COUNTA(F202:F204)&lt;&gt;0,K202,0)</f>
        <v>1</v>
      </c>
      <c r="M202" s="60">
        <v>3</v>
      </c>
      <c r="N202" s="60">
        <f t="shared" si="97"/>
        <v>3</v>
      </c>
      <c r="O202" s="61" t="s">
        <v>21</v>
      </c>
      <c r="P202" s="41" cm="1">
        <f t="array" aca="1" ref="P202" ca="1">IF(F202&lt;&gt;"",SUMPRODUCT(MAX((INDIRECT(ADDRESS(1,COLUMN(K$1),2) &amp;":"&amp; ADDRESS(ROW(),COLUMN(K$1),4))&lt;&gt;"")*(ROW(INDIRECT(ADDRESS(1,COLUMN(K$1),2) &amp;":"&amp; ADDRESS(ROW(),COLUMN(K$1),4)))))),239)</f>
        <v>202</v>
      </c>
      <c r="Q202" s="41" t="str">
        <f t="shared" ca="1" si="102"/>
        <v/>
      </c>
      <c r="R202" s="41" t="str">
        <f t="shared" ca="1" si="98"/>
        <v/>
      </c>
      <c r="S202" s="41" t="str">
        <f t="shared" ca="1" si="99"/>
        <v/>
      </c>
      <c r="T202" s="62" t="str">
        <f t="shared" ca="1" si="112"/>
        <v/>
      </c>
      <c r="U202" s="63" t="str">
        <f t="shared" ca="1" si="113"/>
        <v/>
      </c>
      <c r="V202" s="64">
        <f t="shared" ca="1" si="114"/>
        <v>1</v>
      </c>
      <c r="W202" s="43" t="str">
        <f t="shared" ca="1" si="103"/>
        <v>Appoggio!$A$11:$A$13</v>
      </c>
      <c r="X202" s="65" t="s">
        <v>400</v>
      </c>
      <c r="Y202" s="118"/>
      <c r="Z202" s="111"/>
    </row>
    <row r="203" spans="1:26" ht="28">
      <c r="A203" s="166"/>
      <c r="B203" s="164"/>
      <c r="C203" s="163"/>
      <c r="D203" s="55" t="s">
        <v>18</v>
      </c>
      <c r="E203" s="76" t="s">
        <v>18</v>
      </c>
      <c r="F203" s="106" t="s">
        <v>18</v>
      </c>
      <c r="G203" s="165"/>
      <c r="H203" s="164"/>
      <c r="I203" s="66" t="s">
        <v>152</v>
      </c>
      <c r="J203" s="75" t="s">
        <v>526</v>
      </c>
      <c r="K203" s="184"/>
      <c r="L203" s="184"/>
      <c r="M203" s="39">
        <v>2</v>
      </c>
      <c r="N203" s="39">
        <f t="shared" si="97"/>
        <v>2</v>
      </c>
      <c r="O203" s="40" t="s">
        <v>21</v>
      </c>
      <c r="P203" s="41" cm="1">
        <f t="array" aca="1" ref="P203" ca="1">IF(F203&lt;&gt;"",SUMPRODUCT(MAX((INDIRECT(ADDRESS(1,COLUMN(K$1),2) &amp;":"&amp; ADDRESS(ROW(),COLUMN(K$1),4))&lt;&gt;"")*(ROW(INDIRECT(ADDRESS(1,COLUMN(K$1),2) &amp;":"&amp; ADDRESS(ROW(),COLUMN(K$1),4)))))),239)</f>
        <v>202</v>
      </c>
      <c r="Q203" s="41" t="str">
        <f t="shared" ca="1" si="102"/>
        <v/>
      </c>
      <c r="R203" s="41" t="str">
        <f t="shared" ca="1" si="98"/>
        <v/>
      </c>
      <c r="S203" s="41" t="str">
        <f t="shared" ca="1" si="99"/>
        <v/>
      </c>
      <c r="T203" s="42" t="str">
        <f t="shared" ca="1" si="112"/>
        <v/>
      </c>
      <c r="U203" s="42" t="str">
        <f t="shared" ca="1" si="113"/>
        <v/>
      </c>
      <c r="V203" s="41">
        <f t="shared" ca="1" si="114"/>
        <v>1</v>
      </c>
      <c r="W203" s="45" t="str">
        <f t="shared" ca="1" si="103"/>
        <v>Appoggio!$A$11:$A$13</v>
      </c>
      <c r="X203" s="46" t="s">
        <v>401</v>
      </c>
      <c r="Y203" s="116"/>
      <c r="Z203" s="109"/>
    </row>
    <row r="204" spans="1:26" ht="14.25" customHeight="1">
      <c r="A204" s="166"/>
      <c r="B204" s="164"/>
      <c r="C204" s="163"/>
      <c r="D204" s="55" t="s">
        <v>18</v>
      </c>
      <c r="E204" s="76" t="s">
        <v>18</v>
      </c>
      <c r="F204" s="106" t="s">
        <v>18</v>
      </c>
      <c r="G204" s="165"/>
      <c r="H204" s="164"/>
      <c r="I204" s="84"/>
      <c r="J204" s="84"/>
      <c r="K204" s="184"/>
      <c r="L204" s="184"/>
      <c r="M204" s="47">
        <v>2</v>
      </c>
      <c r="N204" s="47">
        <f t="shared" si="97"/>
        <v>2</v>
      </c>
      <c r="O204" s="48" t="s">
        <v>21</v>
      </c>
      <c r="P204" s="49" cm="1">
        <f t="array" aca="1" ref="P204" ca="1">IF(F204&lt;&gt;"",SUMPRODUCT(MAX((INDIRECT(ADDRESS(1,COLUMN(K$1),2) &amp;":"&amp; ADDRESS(ROW(),COLUMN(K$1),4))&lt;&gt;"")*(ROW(INDIRECT(ADDRESS(1,COLUMN(K$1),2) &amp;":"&amp; ADDRESS(ROW(),COLUMN(K$1),4)))))),239)</f>
        <v>202</v>
      </c>
      <c r="Q204" s="50" t="str">
        <f t="shared" ca="1" si="102"/>
        <v/>
      </c>
      <c r="R204" s="50" t="str">
        <f t="shared" ca="1" si="98"/>
        <v/>
      </c>
      <c r="S204" s="50" t="str">
        <f t="shared" ca="1" si="99"/>
        <v/>
      </c>
      <c r="T204" s="51" t="str">
        <f t="shared" ca="1" si="112"/>
        <v/>
      </c>
      <c r="U204" s="51" t="str">
        <f t="shared" ca="1" si="113"/>
        <v/>
      </c>
      <c r="V204" s="50">
        <f t="shared" ca="1" si="114"/>
        <v>1</v>
      </c>
      <c r="W204" s="70" t="str">
        <f t="shared" ca="1" si="103"/>
        <v>Appoggio!$A$11:$A$13</v>
      </c>
      <c r="X204" s="52" t="s">
        <v>402</v>
      </c>
      <c r="Y204" s="117"/>
      <c r="Z204" s="110"/>
    </row>
    <row r="205" spans="1:26" ht="14.25" customHeight="1">
      <c r="A205" s="166"/>
      <c r="B205" s="164" t="s">
        <v>153</v>
      </c>
      <c r="C205" s="163" t="s">
        <v>403</v>
      </c>
      <c r="D205" s="55" t="s">
        <v>18</v>
      </c>
      <c r="E205" s="76" t="s">
        <v>18</v>
      </c>
      <c r="F205" s="106" t="s">
        <v>18</v>
      </c>
      <c r="G205" s="165" t="str">
        <f>IF(L205&gt;0,"✔","")</f>
        <v>✔</v>
      </c>
      <c r="H205" s="164" t="s">
        <v>154</v>
      </c>
      <c r="I205" s="154" t="s">
        <v>30</v>
      </c>
      <c r="J205" s="154" t="s">
        <v>482</v>
      </c>
      <c r="K205" s="184">
        <v>1</v>
      </c>
      <c r="L205" s="184">
        <f>IF(COUNTA(F205:F210)&lt;&gt;0,K205,0)</f>
        <v>1</v>
      </c>
      <c r="M205" s="60">
        <v>3</v>
      </c>
      <c r="N205" s="60">
        <f t="shared" si="97"/>
        <v>3</v>
      </c>
      <c r="O205" s="61" t="s">
        <v>21</v>
      </c>
      <c r="P205" s="41" cm="1">
        <f t="array" aca="1" ref="P205" ca="1">IF(F205&lt;&gt;"",SUMPRODUCT(MAX((INDIRECT(ADDRESS(1,COLUMN(K$1),2) &amp;":"&amp; ADDRESS(ROW(),COLUMN(K$1),4))&lt;&gt;"")*(ROW(INDIRECT(ADDRESS(1,COLUMN(K$1),2) &amp;":"&amp; ADDRESS(ROW(),COLUMN(K$1),4)))))),239)</f>
        <v>205</v>
      </c>
      <c r="Q205" s="41" t="str">
        <f t="shared" ca="1" si="102"/>
        <v/>
      </c>
      <c r="R205" s="41" t="str">
        <f t="shared" ca="1" si="98"/>
        <v/>
      </c>
      <c r="S205" s="41" t="str">
        <f t="shared" ca="1" si="99"/>
        <v/>
      </c>
      <c r="T205" s="63" t="str">
        <f t="shared" ca="1" si="112"/>
        <v/>
      </c>
      <c r="U205" s="63" t="str">
        <f t="shared" ca="1" si="113"/>
        <v/>
      </c>
      <c r="V205" s="64">
        <f t="shared" ca="1" si="114"/>
        <v>1</v>
      </c>
      <c r="W205" s="43" t="str">
        <f t="shared" ca="1" si="103"/>
        <v>Appoggio!$A$11:$A$13</v>
      </c>
      <c r="X205" s="65" t="s">
        <v>404</v>
      </c>
      <c r="Y205" s="118"/>
      <c r="Z205" s="111"/>
    </row>
    <row r="206" spans="1:26" ht="14.25" customHeight="1">
      <c r="A206" s="166"/>
      <c r="B206" s="164"/>
      <c r="C206" s="163"/>
      <c r="D206" s="55" t="s">
        <v>18</v>
      </c>
      <c r="E206" s="76" t="s">
        <v>18</v>
      </c>
      <c r="F206" s="106" t="s">
        <v>18</v>
      </c>
      <c r="G206" s="165"/>
      <c r="H206" s="164"/>
      <c r="I206" s="154"/>
      <c r="J206" s="154"/>
      <c r="K206" s="184"/>
      <c r="L206" s="184"/>
      <c r="M206" s="39">
        <v>2</v>
      </c>
      <c r="N206" s="39">
        <f t="shared" ref="N206:N253" si="115">IF(F206&lt;&gt;"",M206,0)</f>
        <v>2</v>
      </c>
      <c r="O206" s="40" t="s">
        <v>21</v>
      </c>
      <c r="P206" s="41" cm="1">
        <f t="array" aca="1" ref="P206" ca="1">IF(F206&lt;&gt;"",SUMPRODUCT(MAX((INDIRECT(ADDRESS(1,COLUMN(K$1),2) &amp;":"&amp; ADDRESS(ROW(),COLUMN(K$1),4))&lt;&gt;"")*(ROW(INDIRECT(ADDRESS(1,COLUMN(K$1),2) &amp;":"&amp; ADDRESS(ROW(),COLUMN(K$1),4)))))),239)</f>
        <v>205</v>
      </c>
      <c r="Q206" s="41" t="str">
        <f t="shared" ca="1" si="102"/>
        <v/>
      </c>
      <c r="R206" s="41" t="str">
        <f t="shared" ref="R206:R253" ca="1" si="116">IF(Q206&lt;&gt;"",IF(F206&lt;&gt;"",Q206*M206,0),"")</f>
        <v/>
      </c>
      <c r="S206" s="41" t="str">
        <f t="shared" ref="S206:S253" ca="1" si="117">IF(R206&lt;&gt;"",IF(R206&lt;&gt;0,R206*INDIRECT(ADDRESS(P206,COLUMN(K$1),4,)),0),"")</f>
        <v/>
      </c>
      <c r="T206" s="42" t="str">
        <f t="shared" ca="1" si="112"/>
        <v/>
      </c>
      <c r="U206" s="42" t="str">
        <f t="shared" ca="1" si="113"/>
        <v/>
      </c>
      <c r="V206" s="41">
        <f t="shared" ca="1" si="114"/>
        <v>1</v>
      </c>
      <c r="W206" s="45" t="str">
        <f t="shared" ca="1" si="103"/>
        <v>Appoggio!$A$11:$A$13</v>
      </c>
      <c r="X206" s="46" t="s">
        <v>405</v>
      </c>
      <c r="Y206" s="116"/>
      <c r="Z206" s="109"/>
    </row>
    <row r="207" spans="1:26" ht="14.25" customHeight="1">
      <c r="A207" s="166"/>
      <c r="B207" s="164"/>
      <c r="C207" s="163"/>
      <c r="D207" s="55" t="s">
        <v>18</v>
      </c>
      <c r="E207" s="76" t="s">
        <v>18</v>
      </c>
      <c r="F207" s="106" t="s">
        <v>18</v>
      </c>
      <c r="G207" s="165"/>
      <c r="H207" s="164"/>
      <c r="I207" s="154"/>
      <c r="J207" s="154"/>
      <c r="K207" s="184"/>
      <c r="L207" s="184"/>
      <c r="M207" s="39">
        <v>1</v>
      </c>
      <c r="N207" s="39">
        <f t="shared" si="115"/>
        <v>1</v>
      </c>
      <c r="O207" s="40" t="s">
        <v>21</v>
      </c>
      <c r="P207" s="41" cm="1">
        <f t="array" aca="1" ref="P207" ca="1">IF(F207&lt;&gt;"",SUMPRODUCT(MAX((INDIRECT(ADDRESS(1,COLUMN(K$1),2) &amp;":"&amp; ADDRESS(ROW(),COLUMN(K$1),4))&lt;&gt;"")*(ROW(INDIRECT(ADDRESS(1,COLUMN(K$1),2) &amp;":"&amp; ADDRESS(ROW(),COLUMN(K$1),4)))))),239)</f>
        <v>205</v>
      </c>
      <c r="Q207" s="41" t="str">
        <f t="shared" ca="1" si="102"/>
        <v/>
      </c>
      <c r="R207" s="41" t="str">
        <f t="shared" ca="1" si="116"/>
        <v/>
      </c>
      <c r="S207" s="41" t="str">
        <f t="shared" ca="1" si="117"/>
        <v/>
      </c>
      <c r="T207" s="42" t="str">
        <f t="shared" ca="1" si="112"/>
        <v/>
      </c>
      <c r="U207" s="42" t="str">
        <f t="shared" ca="1" si="113"/>
        <v/>
      </c>
      <c r="V207" s="41">
        <f t="shared" ca="1" si="114"/>
        <v>1</v>
      </c>
      <c r="W207" s="45" t="str">
        <f t="shared" ca="1" si="103"/>
        <v>Appoggio!$A$11:$A$13</v>
      </c>
      <c r="X207" s="46" t="s">
        <v>406</v>
      </c>
      <c r="Y207" s="116"/>
      <c r="Z207" s="109"/>
    </row>
    <row r="208" spans="1:26" ht="14.25" customHeight="1">
      <c r="A208" s="166"/>
      <c r="B208" s="164"/>
      <c r="C208" s="163"/>
      <c r="D208" s="55" t="s">
        <v>18</v>
      </c>
      <c r="E208" s="76" t="s">
        <v>18</v>
      </c>
      <c r="F208" s="106" t="s">
        <v>18</v>
      </c>
      <c r="G208" s="165"/>
      <c r="H208" s="164"/>
      <c r="I208" s="154"/>
      <c r="J208" s="154"/>
      <c r="K208" s="184"/>
      <c r="L208" s="184"/>
      <c r="M208" s="39">
        <v>1</v>
      </c>
      <c r="N208" s="39">
        <f t="shared" si="115"/>
        <v>1</v>
      </c>
      <c r="O208" s="40" t="s">
        <v>21</v>
      </c>
      <c r="P208" s="41" cm="1">
        <f t="array" aca="1" ref="P208" ca="1">IF(F208&lt;&gt;"",SUMPRODUCT(MAX((INDIRECT(ADDRESS(1,COLUMN(K$1),2) &amp;":"&amp; ADDRESS(ROW(),COLUMN(K$1),4))&lt;&gt;"")*(ROW(INDIRECT(ADDRESS(1,COLUMN(K$1),2) &amp;":"&amp; ADDRESS(ROW(),COLUMN(K$1),4)))))),239)</f>
        <v>205</v>
      </c>
      <c r="Q208" s="41" t="str">
        <f t="shared" ca="1" si="102"/>
        <v/>
      </c>
      <c r="R208" s="41" t="str">
        <f t="shared" ca="1" si="116"/>
        <v/>
      </c>
      <c r="S208" s="41" t="str">
        <f t="shared" ca="1" si="117"/>
        <v/>
      </c>
      <c r="T208" s="42" t="str">
        <f t="shared" ca="1" si="112"/>
        <v/>
      </c>
      <c r="U208" s="42" t="str">
        <f t="shared" ca="1" si="113"/>
        <v/>
      </c>
      <c r="V208" s="41">
        <f t="shared" ca="1" si="114"/>
        <v>1</v>
      </c>
      <c r="W208" s="45" t="str">
        <f t="shared" ca="1" si="103"/>
        <v>Appoggio!$A$11:$A$13</v>
      </c>
      <c r="X208" s="46" t="s">
        <v>183</v>
      </c>
      <c r="Y208" s="116"/>
      <c r="Z208" s="109"/>
    </row>
    <row r="209" spans="1:26" ht="21">
      <c r="A209" s="166"/>
      <c r="B209" s="164"/>
      <c r="C209" s="163"/>
      <c r="D209" s="55" t="s">
        <v>18</v>
      </c>
      <c r="E209" s="76" t="s">
        <v>18</v>
      </c>
      <c r="F209" s="106" t="s">
        <v>18</v>
      </c>
      <c r="G209" s="165"/>
      <c r="H209" s="164"/>
      <c r="I209" s="66" t="s">
        <v>155</v>
      </c>
      <c r="J209" s="75" t="s">
        <v>482</v>
      </c>
      <c r="K209" s="184"/>
      <c r="L209" s="184"/>
      <c r="M209" s="39">
        <v>2</v>
      </c>
      <c r="N209" s="39">
        <f t="shared" si="115"/>
        <v>2</v>
      </c>
      <c r="O209" s="40" t="s">
        <v>21</v>
      </c>
      <c r="P209" s="41" cm="1">
        <f t="array" aca="1" ref="P209" ca="1">IF(F209&lt;&gt;"",SUMPRODUCT(MAX((INDIRECT(ADDRESS(1,COLUMN(K$1),2) &amp;":"&amp; ADDRESS(ROW(),COLUMN(K$1),4))&lt;&gt;"")*(ROW(INDIRECT(ADDRESS(1,COLUMN(K$1),2) &amp;":"&amp; ADDRESS(ROW(),COLUMN(K$1),4)))))),239)</f>
        <v>205</v>
      </c>
      <c r="Q209" s="41" t="str">
        <f t="shared" ca="1" si="102"/>
        <v/>
      </c>
      <c r="R209" s="41" t="str">
        <f t="shared" ca="1" si="116"/>
        <v/>
      </c>
      <c r="S209" s="41" t="str">
        <f t="shared" ca="1" si="117"/>
        <v/>
      </c>
      <c r="T209" s="42" t="str">
        <f t="shared" ca="1" si="112"/>
        <v/>
      </c>
      <c r="U209" s="42" t="str">
        <f t="shared" ca="1" si="113"/>
        <v/>
      </c>
      <c r="V209" s="41">
        <f t="shared" ca="1" si="114"/>
        <v>1</v>
      </c>
      <c r="W209" s="45" t="str">
        <f t="shared" ca="1" si="103"/>
        <v>Appoggio!$A$11:$A$13</v>
      </c>
      <c r="X209" s="46" t="s">
        <v>407</v>
      </c>
      <c r="Y209" s="116"/>
      <c r="Z209" s="109"/>
    </row>
    <row r="210" spans="1:26" ht="28">
      <c r="A210" s="166"/>
      <c r="B210" s="164"/>
      <c r="C210" s="163"/>
      <c r="D210" s="55" t="s">
        <v>18</v>
      </c>
      <c r="E210" s="76" t="s">
        <v>18</v>
      </c>
      <c r="F210" s="106" t="s">
        <v>18</v>
      </c>
      <c r="G210" s="165"/>
      <c r="H210" s="164"/>
      <c r="I210" s="84" t="s">
        <v>152</v>
      </c>
      <c r="J210" s="125" t="s">
        <v>526</v>
      </c>
      <c r="K210" s="184"/>
      <c r="L210" s="184"/>
      <c r="M210" s="47">
        <v>3</v>
      </c>
      <c r="N210" s="47">
        <f t="shared" si="115"/>
        <v>3</v>
      </c>
      <c r="O210" s="48" t="s">
        <v>21</v>
      </c>
      <c r="P210" s="49" cm="1">
        <f t="array" aca="1" ref="P210" ca="1">IF(F210&lt;&gt;"",SUMPRODUCT(MAX((INDIRECT(ADDRESS(1,COLUMN(K$1),2) &amp;":"&amp; ADDRESS(ROW(),COLUMN(K$1),4))&lt;&gt;"")*(ROW(INDIRECT(ADDRESS(1,COLUMN(K$1),2) &amp;":"&amp; ADDRESS(ROW(),COLUMN(K$1),4)))))),239)</f>
        <v>205</v>
      </c>
      <c r="Q210" s="50" t="str">
        <f t="shared" ca="1" si="102"/>
        <v/>
      </c>
      <c r="R210" s="50" t="str">
        <f t="shared" ca="1" si="116"/>
        <v/>
      </c>
      <c r="S210" s="50" t="str">
        <f t="shared" ca="1" si="117"/>
        <v/>
      </c>
      <c r="T210" s="51" t="str">
        <f t="shared" ca="1" si="112"/>
        <v/>
      </c>
      <c r="U210" s="51" t="str">
        <f t="shared" ca="1" si="113"/>
        <v/>
      </c>
      <c r="V210" s="50">
        <f t="shared" ca="1" si="114"/>
        <v>1</v>
      </c>
      <c r="W210" s="70" t="str">
        <f t="shared" ca="1" si="103"/>
        <v>Appoggio!$A$11:$A$13</v>
      </c>
      <c r="X210" s="52" t="s">
        <v>408</v>
      </c>
      <c r="Y210" s="117"/>
      <c r="Z210" s="110"/>
    </row>
    <row r="211" spans="1:26" ht="14.25" customHeight="1">
      <c r="A211" s="166"/>
      <c r="B211" s="164" t="s">
        <v>156</v>
      </c>
      <c r="C211" s="163" t="s">
        <v>409</v>
      </c>
      <c r="D211" s="55" t="s">
        <v>18</v>
      </c>
      <c r="E211" s="67"/>
      <c r="F211" s="106" t="s">
        <v>18</v>
      </c>
      <c r="G211" s="202" t="str">
        <f>IF(L211&gt;0,"✔","")</f>
        <v>✔</v>
      </c>
      <c r="H211" s="162" t="s">
        <v>157</v>
      </c>
      <c r="I211" s="152" t="s">
        <v>554</v>
      </c>
      <c r="J211" s="152" t="s">
        <v>527</v>
      </c>
      <c r="K211" s="185">
        <v>1</v>
      </c>
      <c r="L211" s="185">
        <f>IF(COUNTA(F211:F216)&lt;&gt;0,K211,0)</f>
        <v>1</v>
      </c>
      <c r="M211" s="60">
        <v>2</v>
      </c>
      <c r="N211" s="60">
        <f t="shared" si="115"/>
        <v>2</v>
      </c>
      <c r="O211" s="61" t="s">
        <v>21</v>
      </c>
      <c r="P211" s="41" cm="1">
        <f t="array" aca="1" ref="P211" ca="1">IF(F211&lt;&gt;"",SUMPRODUCT(MAX((INDIRECT(ADDRESS(1,COLUMN(K$1),2) &amp;":"&amp; ADDRESS(ROW(),COLUMN(K$1),4))&lt;&gt;"")*(ROW(INDIRECT(ADDRESS(1,COLUMN(K$1),2) &amp;":"&amp; ADDRESS(ROW(),COLUMN(K$1),4)))))),239)</f>
        <v>211</v>
      </c>
      <c r="Q211" s="41" t="str">
        <f t="shared" ca="1" si="102"/>
        <v/>
      </c>
      <c r="R211" s="41" t="str">
        <f t="shared" ca="1" si="116"/>
        <v/>
      </c>
      <c r="S211" s="41" t="str">
        <f t="shared" ca="1" si="117"/>
        <v/>
      </c>
      <c r="T211" s="63" t="str">
        <f t="shared" ca="1" si="112"/>
        <v/>
      </c>
      <c r="U211" s="63" t="str">
        <f t="shared" ca="1" si="113"/>
        <v/>
      </c>
      <c r="V211" s="64">
        <f t="shared" ca="1" si="114"/>
        <v>1</v>
      </c>
      <c r="W211" s="43" t="str">
        <f t="shared" ca="1" si="103"/>
        <v>Appoggio!$A$11:$A$13</v>
      </c>
      <c r="X211" s="65" t="s">
        <v>410</v>
      </c>
      <c r="Y211" s="118"/>
      <c r="Z211" s="111"/>
    </row>
    <row r="212" spans="1:26" ht="14.25" customHeight="1">
      <c r="A212" s="166"/>
      <c r="B212" s="164"/>
      <c r="C212" s="163"/>
      <c r="D212" s="55" t="s">
        <v>18</v>
      </c>
      <c r="E212" s="67"/>
      <c r="F212" s="106" t="s">
        <v>18</v>
      </c>
      <c r="G212" s="202"/>
      <c r="H212" s="162"/>
      <c r="I212" s="152"/>
      <c r="J212" s="152"/>
      <c r="K212" s="185"/>
      <c r="L212" s="185"/>
      <c r="M212" s="39">
        <v>2</v>
      </c>
      <c r="N212" s="39">
        <f t="shared" si="115"/>
        <v>2</v>
      </c>
      <c r="O212" s="40" t="s">
        <v>21</v>
      </c>
      <c r="P212" s="41" cm="1">
        <f t="array" aca="1" ref="P212" ca="1">IF(F212&lt;&gt;"",SUMPRODUCT(MAX((INDIRECT(ADDRESS(1,COLUMN(K$1),2) &amp;":"&amp; ADDRESS(ROW(),COLUMN(K$1),4))&lt;&gt;"")*(ROW(INDIRECT(ADDRESS(1,COLUMN(K$1),2) &amp;":"&amp; ADDRESS(ROW(),COLUMN(K$1),4)))))),239)</f>
        <v>211</v>
      </c>
      <c r="Q212" s="41" t="str">
        <f t="shared" ca="1" si="102"/>
        <v/>
      </c>
      <c r="R212" s="41" t="str">
        <f t="shared" ca="1" si="116"/>
        <v/>
      </c>
      <c r="S212" s="41" t="str">
        <f t="shared" ca="1" si="117"/>
        <v/>
      </c>
      <c r="T212" s="42" t="str">
        <f t="shared" ca="1" si="112"/>
        <v/>
      </c>
      <c r="U212" s="42" t="str">
        <f t="shared" ca="1" si="113"/>
        <v/>
      </c>
      <c r="V212" s="41">
        <f t="shared" ca="1" si="114"/>
        <v>1</v>
      </c>
      <c r="W212" s="45" t="str">
        <f t="shared" ca="1" si="103"/>
        <v>Appoggio!$A$11:$A$13</v>
      </c>
      <c r="X212" s="46" t="s">
        <v>411</v>
      </c>
      <c r="Y212" s="116"/>
      <c r="Z212" s="109"/>
    </row>
    <row r="213" spans="1:26" ht="14.25" customHeight="1">
      <c r="A213" s="166"/>
      <c r="B213" s="164"/>
      <c r="C213" s="163"/>
      <c r="D213" s="55" t="s">
        <v>18</v>
      </c>
      <c r="E213" s="67"/>
      <c r="F213" s="106" t="s">
        <v>18</v>
      </c>
      <c r="G213" s="202"/>
      <c r="H213" s="162"/>
      <c r="I213" s="152"/>
      <c r="J213" s="152"/>
      <c r="K213" s="185"/>
      <c r="L213" s="185"/>
      <c r="M213" s="39">
        <v>2</v>
      </c>
      <c r="N213" s="39">
        <f t="shared" si="115"/>
        <v>2</v>
      </c>
      <c r="O213" s="40" t="s">
        <v>21</v>
      </c>
      <c r="P213" s="41" cm="1">
        <f t="array" aca="1" ref="P213" ca="1">IF(F213&lt;&gt;"",SUMPRODUCT(MAX((INDIRECT(ADDRESS(1,COLUMN(K$1),2) &amp;":"&amp; ADDRESS(ROW(),COLUMN(K$1),4))&lt;&gt;"")*(ROW(INDIRECT(ADDRESS(1,COLUMN(K$1),2) &amp;":"&amp; ADDRESS(ROW(),COLUMN(K$1),4)))))),239)</f>
        <v>211</v>
      </c>
      <c r="Q213" s="41" t="str">
        <f t="shared" ca="1" si="102"/>
        <v/>
      </c>
      <c r="R213" s="41" t="str">
        <f t="shared" ca="1" si="116"/>
        <v/>
      </c>
      <c r="S213" s="41" t="str">
        <f t="shared" ca="1" si="117"/>
        <v/>
      </c>
      <c r="T213" s="42" t="str">
        <f t="shared" ca="1" si="112"/>
        <v/>
      </c>
      <c r="U213" s="42" t="str">
        <f t="shared" ca="1" si="113"/>
        <v/>
      </c>
      <c r="V213" s="41">
        <f t="shared" ca="1" si="114"/>
        <v>1</v>
      </c>
      <c r="W213" s="45" t="str">
        <f t="shared" ca="1" si="103"/>
        <v>Appoggio!$A$11:$A$13</v>
      </c>
      <c r="X213" s="46" t="s">
        <v>412</v>
      </c>
      <c r="Y213" s="116"/>
      <c r="Z213" s="109"/>
    </row>
    <row r="214" spans="1:26" ht="14.25" customHeight="1">
      <c r="A214" s="166"/>
      <c r="B214" s="164"/>
      <c r="C214" s="163"/>
      <c r="D214" s="55" t="s">
        <v>18</v>
      </c>
      <c r="E214" s="67"/>
      <c r="F214" s="106" t="s">
        <v>18</v>
      </c>
      <c r="G214" s="202"/>
      <c r="H214" s="162"/>
      <c r="I214" s="152"/>
      <c r="J214" s="152"/>
      <c r="K214" s="185"/>
      <c r="L214" s="185"/>
      <c r="M214" s="39">
        <v>2</v>
      </c>
      <c r="N214" s="39">
        <f t="shared" si="115"/>
        <v>2</v>
      </c>
      <c r="O214" s="40" t="s">
        <v>21</v>
      </c>
      <c r="P214" s="41" cm="1">
        <f t="array" aca="1" ref="P214" ca="1">IF(F214&lt;&gt;"",SUMPRODUCT(MAX((INDIRECT(ADDRESS(1,COLUMN(K$1),2) &amp;":"&amp; ADDRESS(ROW(),COLUMN(K$1),4))&lt;&gt;"")*(ROW(INDIRECT(ADDRESS(1,COLUMN(K$1),2) &amp;":"&amp; ADDRESS(ROW(),COLUMN(K$1),4)))))),239)</f>
        <v>211</v>
      </c>
      <c r="Q214" s="41" t="str">
        <f t="shared" ca="1" si="102"/>
        <v/>
      </c>
      <c r="R214" s="41" t="str">
        <f t="shared" ca="1" si="116"/>
        <v/>
      </c>
      <c r="S214" s="41" t="str">
        <f t="shared" ca="1" si="117"/>
        <v/>
      </c>
      <c r="T214" s="42" t="str">
        <f t="shared" ca="1" si="112"/>
        <v/>
      </c>
      <c r="U214" s="42" t="str">
        <f t="shared" ca="1" si="113"/>
        <v/>
      </c>
      <c r="V214" s="41">
        <f t="shared" ca="1" si="114"/>
        <v>1</v>
      </c>
      <c r="W214" s="45" t="str">
        <f t="shared" ca="1" si="103"/>
        <v>Appoggio!$A$11:$A$13</v>
      </c>
      <c r="X214" s="46" t="s">
        <v>413</v>
      </c>
      <c r="Y214" s="116"/>
      <c r="Z214" s="109"/>
    </row>
    <row r="215" spans="1:26" ht="14.25" customHeight="1">
      <c r="A215" s="166"/>
      <c r="B215" s="164"/>
      <c r="C215" s="163"/>
      <c r="D215" s="55" t="s">
        <v>18</v>
      </c>
      <c r="E215" s="67"/>
      <c r="F215" s="106" t="s">
        <v>18</v>
      </c>
      <c r="G215" s="202"/>
      <c r="H215" s="162"/>
      <c r="I215" s="152"/>
      <c r="J215" s="152"/>
      <c r="K215" s="185"/>
      <c r="L215" s="185"/>
      <c r="M215" s="127">
        <v>2</v>
      </c>
      <c r="N215" s="39">
        <f t="shared" ref="N215" si="118">IF(F215&lt;&gt;"",M215,0)</f>
        <v>2</v>
      </c>
      <c r="O215" s="128" t="s">
        <v>21</v>
      </c>
      <c r="P215" s="41" cm="1">
        <f t="array" aca="1" ref="P215" ca="1">IF(F215&lt;&gt;"",SUMPRODUCT(MAX((INDIRECT(ADDRESS(1,COLUMN(K$1),2) &amp;":"&amp; ADDRESS(ROW(),COLUMN(K$1),4))&lt;&gt;"")*(ROW(INDIRECT(ADDRESS(1,COLUMN(K$1),2) &amp;":"&amp; ADDRESS(ROW(),COLUMN(K$1),4)))))),239)</f>
        <v>211</v>
      </c>
      <c r="Q215" s="41" t="str">
        <f t="shared" ref="Q215" ca="1" si="119">IF(Y215&lt;&gt;"",VLOOKUP(Y215,INDIRECT(O215),2,0),"")</f>
        <v/>
      </c>
      <c r="R215" s="41" t="str">
        <f t="shared" ref="R215" ca="1" si="120">IF(Q215&lt;&gt;"",IF(F215&lt;&gt;"",Q215*M215,0),"")</f>
        <v/>
      </c>
      <c r="S215" s="41" t="str">
        <f t="shared" ref="S215" ca="1" si="121">IF(R215&lt;&gt;"",IF(R215&lt;&gt;0,R215*INDIRECT(ADDRESS(P215,COLUMN(K$1),4,)),0),"")</f>
        <v/>
      </c>
      <c r="T215" s="42" t="str">
        <f t="shared" ref="T215" ca="1" si="122">IF(R215&lt;&gt;"",R215/SUMIFS(M$3:M$253,P$3:P$253,P215),"")</f>
        <v/>
      </c>
      <c r="U215" s="42" t="str">
        <f t="shared" ref="U215" ca="1" si="123">IF(R215&lt;&gt;"",SUMIFS(T$3:T$253,P$3:P$253,P215),"")</f>
        <v/>
      </c>
      <c r="V215" s="41">
        <f t="shared" ref="V215" ca="1" si="124">IFERROR(INDEX(K:K,P215),0)</f>
        <v>1</v>
      </c>
      <c r="W215" s="45" t="str">
        <f t="shared" ref="W215" ca="1" si="125">ADDRESS(ROW(INDIRECT(O215)),COLUMN(INDIRECT(O215)),1,1,"Appoggio")&amp;":"&amp;ADDRESS(ROW(INDIRECT(O215))+ROWS(INDIRECT(O215))-1,COLUMN(INDIRECT(O215)),1,1)</f>
        <v>Appoggio!$A$11:$A$13</v>
      </c>
      <c r="X215" s="138" t="s">
        <v>553</v>
      </c>
      <c r="Y215" s="133"/>
      <c r="Z215" s="113"/>
    </row>
    <row r="216" spans="1:26" ht="55.75" customHeight="1">
      <c r="A216" s="166"/>
      <c r="B216" s="164"/>
      <c r="C216" s="163"/>
      <c r="D216" s="55" t="s">
        <v>18</v>
      </c>
      <c r="E216" s="67"/>
      <c r="F216" s="106" t="s">
        <v>18</v>
      </c>
      <c r="G216" s="202"/>
      <c r="H216" s="162"/>
      <c r="I216" s="152"/>
      <c r="J216" s="152"/>
      <c r="K216" s="185"/>
      <c r="L216" s="185"/>
      <c r="M216" s="47">
        <v>3</v>
      </c>
      <c r="N216" s="47">
        <f t="shared" si="115"/>
        <v>3</v>
      </c>
      <c r="O216" s="48" t="s">
        <v>21</v>
      </c>
      <c r="P216" s="49" cm="1">
        <f t="array" aca="1" ref="P216" ca="1">IF(F216&lt;&gt;"",SUMPRODUCT(MAX((INDIRECT(ADDRESS(1,COLUMN(K$1),2) &amp;":"&amp; ADDRESS(ROW(),COLUMN(K$1),4))&lt;&gt;"")*(ROW(INDIRECT(ADDRESS(1,COLUMN(K$1),2) &amp;":"&amp; ADDRESS(ROW(),COLUMN(K$1),4)))))),239)</f>
        <v>211</v>
      </c>
      <c r="Q216" s="50" t="str">
        <f t="shared" ca="1" si="102"/>
        <v/>
      </c>
      <c r="R216" s="50" t="str">
        <f t="shared" ca="1" si="116"/>
        <v/>
      </c>
      <c r="S216" s="50" t="str">
        <f t="shared" ca="1" si="117"/>
        <v/>
      </c>
      <c r="T216" s="51" t="str">
        <f t="shared" ref="T216:T253" ca="1" si="126">IF(R216&lt;&gt;"",R216/SUMIFS(M$3:M$253,P$3:P$253,P216),"")</f>
        <v/>
      </c>
      <c r="U216" s="51" t="str">
        <f t="shared" ref="U216:U253" ca="1" si="127">IF(R216&lt;&gt;"",SUMIFS(T$3:T$253,P$3:P$253,P216),"")</f>
        <v/>
      </c>
      <c r="V216" s="50">
        <f t="shared" ca="1" si="114"/>
        <v>1</v>
      </c>
      <c r="W216" s="70" t="str">
        <f t="shared" ca="1" si="103"/>
        <v>Appoggio!$A$11:$A$13</v>
      </c>
      <c r="X216" s="52" t="s">
        <v>414</v>
      </c>
      <c r="Y216" s="117"/>
      <c r="Z216" s="110"/>
    </row>
    <row r="217" spans="1:26" ht="14.25" customHeight="1">
      <c r="A217" s="166"/>
      <c r="B217" s="162" t="s">
        <v>158</v>
      </c>
      <c r="C217" s="163" t="s">
        <v>415</v>
      </c>
      <c r="D217" s="55" t="s">
        <v>18</v>
      </c>
      <c r="E217" s="55" t="s">
        <v>18</v>
      </c>
      <c r="F217" s="106" t="s">
        <v>18</v>
      </c>
      <c r="G217" s="165" t="str">
        <f>IF(L217&gt;0,"✔","")</f>
        <v>✔</v>
      </c>
      <c r="H217" s="222"/>
      <c r="I217" s="155"/>
      <c r="J217" s="155"/>
      <c r="K217" s="184">
        <v>1</v>
      </c>
      <c r="L217" s="184">
        <f>IF(COUNTA(F217:F220)&lt;&gt;0,K217,0)</f>
        <v>1</v>
      </c>
      <c r="M217" s="60">
        <v>3</v>
      </c>
      <c r="N217" s="60">
        <f t="shared" ref="N217:N220" si="128">IF(F217&lt;&gt;"",M217,0)</f>
        <v>3</v>
      </c>
      <c r="O217" s="61" t="s">
        <v>21</v>
      </c>
      <c r="P217" s="41" cm="1">
        <f t="array" aca="1" ref="P217" ca="1">IF(F217&lt;&gt;"",SUMPRODUCT(MAX((INDIRECT(ADDRESS(1,COLUMN(K$1),2) &amp;":"&amp; ADDRESS(ROW(),COLUMN(K$1),4))&lt;&gt;"")*(ROW(INDIRECT(ADDRESS(1,COLUMN(K$1),2) &amp;":"&amp; ADDRESS(ROW(),COLUMN(K$1),4)))))),239)</f>
        <v>217</v>
      </c>
      <c r="Q217" s="41" t="str">
        <f t="shared" ref="Q217:Q220" ca="1" si="129">IF(Y217&lt;&gt;"",VLOOKUP(Y217,INDIRECT(O217),2,0),"")</f>
        <v/>
      </c>
      <c r="R217" s="41" t="str">
        <f t="shared" ref="R217:R220" ca="1" si="130">IF(Q217&lt;&gt;"",IF(F217&lt;&gt;"",Q217*M217,0),"")</f>
        <v/>
      </c>
      <c r="S217" s="41" t="str">
        <f t="shared" ref="S217:S220" ca="1" si="131">IF(R217&lt;&gt;"",IF(R217&lt;&gt;0,R217*INDIRECT(ADDRESS(P217,COLUMN(K$1),4,)),0),"")</f>
        <v/>
      </c>
      <c r="T217" s="63" t="str">
        <f t="shared" ca="1" si="126"/>
        <v/>
      </c>
      <c r="U217" s="63" t="str">
        <f t="shared" ca="1" si="127"/>
        <v/>
      </c>
      <c r="V217" s="64">
        <f t="shared" ca="1" si="114"/>
        <v>1</v>
      </c>
      <c r="W217" s="43" t="str">
        <f t="shared" ref="W217:W220" ca="1" si="132">ADDRESS(ROW(INDIRECT(O217)),COLUMN(INDIRECT(O217)),1,1,"Appoggio")&amp;":"&amp;ADDRESS(ROW(INDIRECT(O217))+ROWS(INDIRECT(O217))-1,COLUMN(INDIRECT(O217)),1,1)</f>
        <v>Appoggio!$A$11:$A$13</v>
      </c>
      <c r="X217" s="65" t="s">
        <v>416</v>
      </c>
      <c r="Y217" s="118"/>
      <c r="Z217" s="111"/>
    </row>
    <row r="218" spans="1:26" ht="14.25" customHeight="1">
      <c r="A218" s="166"/>
      <c r="B218" s="162"/>
      <c r="C218" s="163"/>
      <c r="D218" s="55" t="s">
        <v>18</v>
      </c>
      <c r="E218" s="55" t="s">
        <v>18</v>
      </c>
      <c r="F218" s="106" t="s">
        <v>18</v>
      </c>
      <c r="G218" s="165"/>
      <c r="H218" s="222"/>
      <c r="I218" s="155"/>
      <c r="J218" s="155"/>
      <c r="K218" s="184"/>
      <c r="L218" s="184"/>
      <c r="M218" s="39">
        <v>2</v>
      </c>
      <c r="N218" s="39">
        <f t="shared" si="128"/>
        <v>2</v>
      </c>
      <c r="O218" s="40" t="s">
        <v>21</v>
      </c>
      <c r="P218" s="41" cm="1">
        <f t="array" aca="1" ref="P218" ca="1">IF(F218&lt;&gt;"",SUMPRODUCT(MAX((INDIRECT(ADDRESS(1,COLUMN(K$1),2) &amp;":"&amp; ADDRESS(ROW(),COLUMN(K$1),4))&lt;&gt;"")*(ROW(INDIRECT(ADDRESS(1,COLUMN(K$1),2) &amp;":"&amp; ADDRESS(ROW(),COLUMN(K$1),4)))))),239)</f>
        <v>217</v>
      </c>
      <c r="Q218" s="41" t="str">
        <f t="shared" ca="1" si="129"/>
        <v/>
      </c>
      <c r="R218" s="41" t="str">
        <f t="shared" ca="1" si="130"/>
        <v/>
      </c>
      <c r="S218" s="41" t="str">
        <f t="shared" ca="1" si="131"/>
        <v/>
      </c>
      <c r="T218" s="42" t="str">
        <f t="shared" ca="1" si="126"/>
        <v/>
      </c>
      <c r="U218" s="42" t="str">
        <f t="shared" ca="1" si="127"/>
        <v/>
      </c>
      <c r="V218" s="41">
        <f t="shared" ca="1" si="114"/>
        <v>1</v>
      </c>
      <c r="W218" s="45" t="str">
        <f t="shared" ca="1" si="132"/>
        <v>Appoggio!$A$11:$A$13</v>
      </c>
      <c r="X218" s="46" t="s">
        <v>417</v>
      </c>
      <c r="Y218" s="116"/>
      <c r="Z218" s="109"/>
    </row>
    <row r="219" spans="1:26" ht="14.25" customHeight="1">
      <c r="A219" s="166"/>
      <c r="B219" s="162"/>
      <c r="C219" s="163"/>
      <c r="D219" s="55" t="s">
        <v>18</v>
      </c>
      <c r="E219" s="55" t="s">
        <v>18</v>
      </c>
      <c r="F219" s="106" t="s">
        <v>18</v>
      </c>
      <c r="G219" s="165"/>
      <c r="H219" s="222"/>
      <c r="I219" s="155"/>
      <c r="J219" s="155"/>
      <c r="K219" s="184"/>
      <c r="L219" s="184"/>
      <c r="M219" s="39">
        <v>1</v>
      </c>
      <c r="N219" s="39">
        <f t="shared" si="128"/>
        <v>1</v>
      </c>
      <c r="O219" s="40" t="s">
        <v>21</v>
      </c>
      <c r="P219" s="41" cm="1">
        <f t="array" aca="1" ref="P219" ca="1">IF(F219&lt;&gt;"",SUMPRODUCT(MAX((INDIRECT(ADDRESS(1,COLUMN(K$1),2) &amp;":"&amp; ADDRESS(ROW(),COLUMN(K$1),4))&lt;&gt;"")*(ROW(INDIRECT(ADDRESS(1,COLUMN(K$1),2) &amp;":"&amp; ADDRESS(ROW(),COLUMN(K$1),4)))))),239)</f>
        <v>217</v>
      </c>
      <c r="Q219" s="41" t="str">
        <f t="shared" ca="1" si="129"/>
        <v/>
      </c>
      <c r="R219" s="41" t="str">
        <f t="shared" ca="1" si="130"/>
        <v/>
      </c>
      <c r="S219" s="41" t="str">
        <f t="shared" ca="1" si="131"/>
        <v/>
      </c>
      <c r="T219" s="42" t="str">
        <f t="shared" ca="1" si="126"/>
        <v/>
      </c>
      <c r="U219" s="42" t="str">
        <f t="shared" ca="1" si="127"/>
        <v/>
      </c>
      <c r="V219" s="41">
        <f t="shared" ca="1" si="114"/>
        <v>1</v>
      </c>
      <c r="W219" s="45" t="str">
        <f t="shared" ca="1" si="132"/>
        <v>Appoggio!$A$11:$A$13</v>
      </c>
      <c r="X219" s="46" t="s">
        <v>418</v>
      </c>
      <c r="Y219" s="116"/>
      <c r="Z219" s="109"/>
    </row>
    <row r="220" spans="1:26" ht="14.25" customHeight="1">
      <c r="A220" s="166"/>
      <c r="B220" s="162"/>
      <c r="C220" s="163"/>
      <c r="D220" s="55" t="s">
        <v>18</v>
      </c>
      <c r="E220" s="55" t="s">
        <v>18</v>
      </c>
      <c r="F220" s="106" t="s">
        <v>18</v>
      </c>
      <c r="G220" s="165"/>
      <c r="H220" s="222"/>
      <c r="I220" s="155"/>
      <c r="J220" s="155"/>
      <c r="K220" s="184"/>
      <c r="L220" s="184"/>
      <c r="M220" s="39">
        <v>2</v>
      </c>
      <c r="N220" s="39">
        <f t="shared" si="128"/>
        <v>2</v>
      </c>
      <c r="O220" s="40" t="s">
        <v>21</v>
      </c>
      <c r="P220" s="49" cm="1">
        <f t="array" aca="1" ref="P220" ca="1">IF(F220&lt;&gt;"",SUMPRODUCT(MAX((INDIRECT(ADDRESS(1,COLUMN(K$1),2) &amp;":"&amp; ADDRESS(ROW(),COLUMN(K$1),4))&lt;&gt;"")*(ROW(INDIRECT(ADDRESS(1,COLUMN(K$1),2) &amp;":"&amp; ADDRESS(ROW(),COLUMN(K$1),4)))))),239)</f>
        <v>217</v>
      </c>
      <c r="Q220" s="50" t="str">
        <f t="shared" ca="1" si="129"/>
        <v/>
      </c>
      <c r="R220" s="50" t="str">
        <f t="shared" ca="1" si="130"/>
        <v/>
      </c>
      <c r="S220" s="50" t="str">
        <f t="shared" ca="1" si="131"/>
        <v/>
      </c>
      <c r="T220" s="42" t="str">
        <f t="shared" ca="1" si="126"/>
        <v/>
      </c>
      <c r="U220" s="42" t="str">
        <f t="shared" ca="1" si="127"/>
        <v/>
      </c>
      <c r="V220" s="41">
        <f t="shared" ca="1" si="114"/>
        <v>1</v>
      </c>
      <c r="W220" s="45" t="str">
        <f t="shared" ca="1" si="132"/>
        <v>Appoggio!$A$11:$A$13</v>
      </c>
      <c r="X220" s="46" t="s">
        <v>419</v>
      </c>
      <c r="Y220" s="117"/>
      <c r="Z220" s="109"/>
    </row>
    <row r="221" spans="1:26" ht="14.25" customHeight="1">
      <c r="A221" s="166"/>
      <c r="B221" s="209" t="s">
        <v>546</v>
      </c>
      <c r="C221" s="210" t="s">
        <v>547</v>
      </c>
      <c r="D221" s="55" t="s">
        <v>18</v>
      </c>
      <c r="E221" s="55"/>
      <c r="F221" s="106" t="s">
        <v>18</v>
      </c>
      <c r="G221" s="165" t="str">
        <f>IF(L221&gt;0,"✔","")</f>
        <v>✔</v>
      </c>
      <c r="H221" s="211" t="s">
        <v>551</v>
      </c>
      <c r="I221" s="140"/>
      <c r="J221" s="140"/>
      <c r="K221" s="212">
        <v>1</v>
      </c>
      <c r="L221" s="212">
        <f>IF(COUNTA(F221:F223)&lt;&gt;0,K221,0)</f>
        <v>1</v>
      </c>
      <c r="M221" s="147">
        <v>3</v>
      </c>
      <c r="N221" s="60">
        <f t="shared" si="115"/>
        <v>3</v>
      </c>
      <c r="O221" s="148" t="s">
        <v>21</v>
      </c>
      <c r="P221" s="41" cm="1">
        <f t="array" aca="1" ref="P221" ca="1">IF(F221&lt;&gt;"",SUMPRODUCT(MAX((INDIRECT(ADDRESS(1,COLUMN(K$1),2) &amp;":"&amp; ADDRESS(ROW(),COLUMN(K$1),4))&lt;&gt;"")*(ROW(INDIRECT(ADDRESS(1,COLUMN(K$1),2) &amp;":"&amp; ADDRESS(ROW(),COLUMN(K$1),4)))))),239)</f>
        <v>221</v>
      </c>
      <c r="Q221" s="41" t="str">
        <f t="shared" ca="1" si="102"/>
        <v/>
      </c>
      <c r="R221" s="41" t="str">
        <f t="shared" ca="1" si="116"/>
        <v/>
      </c>
      <c r="S221" s="41" t="str">
        <f t="shared" ca="1" si="117"/>
        <v/>
      </c>
      <c r="T221" s="63" t="str">
        <f t="shared" ca="1" si="126"/>
        <v/>
      </c>
      <c r="U221" s="63" t="str">
        <f t="shared" ca="1" si="127"/>
        <v/>
      </c>
      <c r="V221" s="64">
        <f t="shared" ca="1" si="114"/>
        <v>1</v>
      </c>
      <c r="W221" s="43" t="str">
        <f t="shared" ca="1" si="103"/>
        <v>Appoggio!$A$11:$A$13</v>
      </c>
      <c r="X221" s="139" t="s">
        <v>548</v>
      </c>
      <c r="Y221" s="118"/>
      <c r="Z221" s="111"/>
    </row>
    <row r="222" spans="1:26" ht="14.25" customHeight="1">
      <c r="A222" s="166"/>
      <c r="B222" s="209"/>
      <c r="C222" s="210"/>
      <c r="D222" s="55" t="s">
        <v>18</v>
      </c>
      <c r="E222" s="55"/>
      <c r="F222" s="106" t="s">
        <v>18</v>
      </c>
      <c r="G222" s="165"/>
      <c r="H222" s="211"/>
      <c r="I222" s="137" t="s">
        <v>168</v>
      </c>
      <c r="J222" s="136" t="s">
        <v>567</v>
      </c>
      <c r="K222" s="212"/>
      <c r="L222" s="212"/>
      <c r="M222" s="127">
        <v>2</v>
      </c>
      <c r="N222" s="39">
        <f t="shared" si="115"/>
        <v>2</v>
      </c>
      <c r="O222" s="128" t="s">
        <v>21</v>
      </c>
      <c r="P222" s="41" cm="1">
        <f t="array" aca="1" ref="P222" ca="1">IF(F222&lt;&gt;"",SUMPRODUCT(MAX((INDIRECT(ADDRESS(1,COLUMN(K$1),2) &amp;":"&amp; ADDRESS(ROW(),COLUMN(K$1),4))&lt;&gt;"")*(ROW(INDIRECT(ADDRESS(1,COLUMN(K$1),2) &amp;":"&amp; ADDRESS(ROW(),COLUMN(K$1),4)))))),239)</f>
        <v>221</v>
      </c>
      <c r="Q222" s="41" t="str">
        <f t="shared" ca="1" si="102"/>
        <v/>
      </c>
      <c r="R222" s="41" t="str">
        <f t="shared" ca="1" si="116"/>
        <v/>
      </c>
      <c r="S222" s="41" t="str">
        <f t="shared" ca="1" si="117"/>
        <v/>
      </c>
      <c r="T222" s="42" t="str">
        <f t="shared" ca="1" si="126"/>
        <v/>
      </c>
      <c r="U222" s="42" t="str">
        <f t="shared" ca="1" si="127"/>
        <v/>
      </c>
      <c r="V222" s="41">
        <f t="shared" ca="1" si="114"/>
        <v>1</v>
      </c>
      <c r="W222" s="45" t="str">
        <f t="shared" ca="1" si="103"/>
        <v>Appoggio!$A$11:$A$13</v>
      </c>
      <c r="X222" s="132" t="s">
        <v>549</v>
      </c>
      <c r="Y222" s="116"/>
      <c r="Z222" s="109"/>
    </row>
    <row r="223" spans="1:26" ht="14.25" customHeight="1">
      <c r="A223" s="166"/>
      <c r="B223" s="209"/>
      <c r="C223" s="210"/>
      <c r="D223" s="55" t="s">
        <v>18</v>
      </c>
      <c r="E223" s="55"/>
      <c r="F223" s="106" t="s">
        <v>18</v>
      </c>
      <c r="G223" s="165"/>
      <c r="H223" s="211"/>
      <c r="I223" s="141" t="s">
        <v>552</v>
      </c>
      <c r="J223" s="141" t="s">
        <v>566</v>
      </c>
      <c r="K223" s="212"/>
      <c r="L223" s="212"/>
      <c r="M223" s="127">
        <v>2</v>
      </c>
      <c r="N223" s="39">
        <f t="shared" si="115"/>
        <v>2</v>
      </c>
      <c r="O223" s="128" t="s">
        <v>21</v>
      </c>
      <c r="P223" s="49" cm="1">
        <f t="array" aca="1" ref="P223" ca="1">IF(F223&lt;&gt;"",SUMPRODUCT(MAX((INDIRECT(ADDRESS(1,COLUMN(K$1),2) &amp;":"&amp; ADDRESS(ROW(),COLUMN(K$1),4))&lt;&gt;"")*(ROW(INDIRECT(ADDRESS(1,COLUMN(K$1),2) &amp;":"&amp; ADDRESS(ROW(),COLUMN(K$1),4)))))),239)</f>
        <v>221</v>
      </c>
      <c r="Q223" s="50" t="str">
        <f t="shared" ca="1" si="102"/>
        <v/>
      </c>
      <c r="R223" s="50" t="str">
        <f t="shared" ca="1" si="116"/>
        <v/>
      </c>
      <c r="S223" s="50" t="str">
        <f t="shared" ca="1" si="117"/>
        <v/>
      </c>
      <c r="T223" s="42" t="str">
        <f t="shared" ca="1" si="126"/>
        <v/>
      </c>
      <c r="U223" s="42" t="str">
        <f t="shared" ca="1" si="127"/>
        <v/>
      </c>
      <c r="V223" s="41">
        <f t="shared" ca="1" si="114"/>
        <v>1</v>
      </c>
      <c r="W223" s="45" t="str">
        <f t="shared" ca="1" si="103"/>
        <v>Appoggio!$A$11:$A$13</v>
      </c>
      <c r="X223" s="132" t="s">
        <v>550</v>
      </c>
      <c r="Y223" s="117"/>
      <c r="Z223" s="109"/>
    </row>
    <row r="224" spans="1:26" ht="14.25" customHeight="1">
      <c r="A224" s="213" t="s">
        <v>159</v>
      </c>
      <c r="B224" s="164" t="s">
        <v>160</v>
      </c>
      <c r="C224" s="163" t="s">
        <v>422</v>
      </c>
      <c r="D224" s="55" t="s">
        <v>18</v>
      </c>
      <c r="E224" s="67"/>
      <c r="F224" s="106" t="s">
        <v>18</v>
      </c>
      <c r="G224" s="165" t="str">
        <f>IF(L224&gt;0,"✔","")</f>
        <v>✔</v>
      </c>
      <c r="H224" s="203" t="s">
        <v>161</v>
      </c>
      <c r="I224" s="153" t="s">
        <v>28</v>
      </c>
      <c r="J224" s="153" t="s">
        <v>480</v>
      </c>
      <c r="K224" s="184">
        <v>1</v>
      </c>
      <c r="L224" s="184">
        <f>IF(COUNTA(F224:F228)&lt;&gt;0,K224,0)</f>
        <v>1</v>
      </c>
      <c r="M224" s="60">
        <v>2</v>
      </c>
      <c r="N224" s="60">
        <f t="shared" si="115"/>
        <v>2</v>
      </c>
      <c r="O224" s="61" t="s">
        <v>21</v>
      </c>
      <c r="P224" s="41" cm="1">
        <f t="array" aca="1" ref="P224" ca="1">IF(F224&lt;&gt;"",SUMPRODUCT(MAX((INDIRECT(ADDRESS(1,COLUMN(K$1),2) &amp;":"&amp; ADDRESS(ROW(),COLUMN(K$1),4))&lt;&gt;"")*(ROW(INDIRECT(ADDRESS(1,COLUMN(K$1),2) &amp;":"&amp; ADDRESS(ROW(),COLUMN(K$1),4)))))),239)</f>
        <v>224</v>
      </c>
      <c r="Q224" s="41" t="str">
        <f t="shared" ca="1" si="102"/>
        <v/>
      </c>
      <c r="R224" s="41" t="str">
        <f t="shared" ca="1" si="116"/>
        <v/>
      </c>
      <c r="S224" s="41" t="str">
        <f t="shared" ca="1" si="117"/>
        <v/>
      </c>
      <c r="T224" s="63" t="str">
        <f t="shared" ca="1" si="126"/>
        <v/>
      </c>
      <c r="U224" s="63" t="str">
        <f t="shared" ca="1" si="127"/>
        <v/>
      </c>
      <c r="V224" s="64">
        <f t="shared" ca="1" si="114"/>
        <v>1</v>
      </c>
      <c r="W224" s="43" t="str">
        <f t="shared" ca="1" si="103"/>
        <v>Appoggio!$A$11:$A$13</v>
      </c>
      <c r="X224" s="65" t="s">
        <v>423</v>
      </c>
      <c r="Y224" s="118"/>
      <c r="Z224" s="111"/>
    </row>
    <row r="225" spans="1:26" ht="14.25" customHeight="1">
      <c r="A225" s="213"/>
      <c r="B225" s="164"/>
      <c r="C225" s="163"/>
      <c r="D225" s="55" t="s">
        <v>18</v>
      </c>
      <c r="E225" s="67"/>
      <c r="F225" s="106" t="s">
        <v>18</v>
      </c>
      <c r="G225" s="165"/>
      <c r="H225" s="203"/>
      <c r="I225" s="153"/>
      <c r="J225" s="153"/>
      <c r="K225" s="184"/>
      <c r="L225" s="184"/>
      <c r="M225" s="39">
        <v>2</v>
      </c>
      <c r="N225" s="39">
        <f t="shared" si="115"/>
        <v>2</v>
      </c>
      <c r="O225" s="40" t="s">
        <v>21</v>
      </c>
      <c r="P225" s="41" cm="1">
        <f t="array" aca="1" ref="P225" ca="1">IF(F225&lt;&gt;"",SUMPRODUCT(MAX((INDIRECT(ADDRESS(1,COLUMN(K$1),2) &amp;":"&amp; ADDRESS(ROW(),COLUMN(K$1),4))&lt;&gt;"")*(ROW(INDIRECT(ADDRESS(1,COLUMN(K$1),2) &amp;":"&amp; ADDRESS(ROW(),COLUMN(K$1),4)))))),239)</f>
        <v>224</v>
      </c>
      <c r="Q225" s="41" t="str">
        <f t="shared" ca="1" si="102"/>
        <v/>
      </c>
      <c r="R225" s="41" t="str">
        <f t="shared" ca="1" si="116"/>
        <v/>
      </c>
      <c r="S225" s="41" t="str">
        <f t="shared" ca="1" si="117"/>
        <v/>
      </c>
      <c r="T225" s="42" t="str">
        <f t="shared" ca="1" si="126"/>
        <v/>
      </c>
      <c r="U225" s="42" t="str">
        <f t="shared" ca="1" si="127"/>
        <v/>
      </c>
      <c r="V225" s="41">
        <f t="shared" ca="1" si="114"/>
        <v>1</v>
      </c>
      <c r="W225" s="45" t="str">
        <f t="shared" ca="1" si="103"/>
        <v>Appoggio!$A$11:$A$13</v>
      </c>
      <c r="X225" s="46" t="s">
        <v>424</v>
      </c>
      <c r="Y225" s="116"/>
      <c r="Z225" s="109"/>
    </row>
    <row r="226" spans="1:26" ht="14.25" customHeight="1">
      <c r="A226" s="213"/>
      <c r="B226" s="164"/>
      <c r="C226" s="163"/>
      <c r="D226" s="55" t="s">
        <v>18</v>
      </c>
      <c r="E226" s="67"/>
      <c r="F226" s="106" t="s">
        <v>18</v>
      </c>
      <c r="G226" s="165"/>
      <c r="H226" s="214" t="s">
        <v>162</v>
      </c>
      <c r="I226" s="153"/>
      <c r="J226" s="153"/>
      <c r="K226" s="184"/>
      <c r="L226" s="184"/>
      <c r="M226" s="39">
        <v>1</v>
      </c>
      <c r="N226" s="39">
        <f t="shared" si="115"/>
        <v>1</v>
      </c>
      <c r="O226" s="40" t="s">
        <v>21</v>
      </c>
      <c r="P226" s="41" cm="1">
        <f t="array" aca="1" ref="P226" ca="1">IF(F226&lt;&gt;"",SUMPRODUCT(MAX((INDIRECT(ADDRESS(1,COLUMN(K$1),2) &amp;":"&amp; ADDRESS(ROW(),COLUMN(K$1),4))&lt;&gt;"")*(ROW(INDIRECT(ADDRESS(1,COLUMN(K$1),2) &amp;":"&amp; ADDRESS(ROW(),COLUMN(K$1),4)))))),239)</f>
        <v>224</v>
      </c>
      <c r="Q226" s="41" t="str">
        <f t="shared" ca="1" si="102"/>
        <v/>
      </c>
      <c r="R226" s="41" t="str">
        <f t="shared" ca="1" si="116"/>
        <v/>
      </c>
      <c r="S226" s="41" t="str">
        <f t="shared" ca="1" si="117"/>
        <v/>
      </c>
      <c r="T226" s="42" t="str">
        <f t="shared" ca="1" si="126"/>
        <v/>
      </c>
      <c r="U226" s="42" t="str">
        <f t="shared" ca="1" si="127"/>
        <v/>
      </c>
      <c r="V226" s="41">
        <f t="shared" ca="1" si="114"/>
        <v>1</v>
      </c>
      <c r="W226" s="45" t="str">
        <f t="shared" ca="1" si="103"/>
        <v>Appoggio!$A$11:$A$13</v>
      </c>
      <c r="X226" s="46" t="s">
        <v>427</v>
      </c>
      <c r="Y226" s="116"/>
      <c r="Z226" s="109"/>
    </row>
    <row r="227" spans="1:26" ht="14.25" customHeight="1">
      <c r="A227" s="213"/>
      <c r="B227" s="164"/>
      <c r="C227" s="163"/>
      <c r="D227" s="55" t="s">
        <v>18</v>
      </c>
      <c r="E227" s="67"/>
      <c r="F227" s="106" t="s">
        <v>18</v>
      </c>
      <c r="G227" s="165"/>
      <c r="H227" s="214"/>
      <c r="I227" s="153"/>
      <c r="J227" s="153"/>
      <c r="K227" s="184"/>
      <c r="L227" s="184"/>
      <c r="M227" s="39">
        <v>2</v>
      </c>
      <c r="N227" s="39">
        <f t="shared" si="115"/>
        <v>2</v>
      </c>
      <c r="O227" s="40" t="s">
        <v>21</v>
      </c>
      <c r="P227" s="41" cm="1">
        <f t="array" aca="1" ref="P227" ca="1">IF(F227&lt;&gt;"",SUMPRODUCT(MAX((INDIRECT(ADDRESS(1,COLUMN(K$1),2) &amp;":"&amp; ADDRESS(ROW(),COLUMN(K$1),4))&lt;&gt;"")*(ROW(INDIRECT(ADDRESS(1,COLUMN(K$1),2) &amp;":"&amp; ADDRESS(ROW(),COLUMN(K$1),4)))))),239)</f>
        <v>224</v>
      </c>
      <c r="Q227" s="41" t="str">
        <f t="shared" ca="1" si="102"/>
        <v/>
      </c>
      <c r="R227" s="41" t="str">
        <f t="shared" ca="1" si="116"/>
        <v/>
      </c>
      <c r="S227" s="41" t="str">
        <f t="shared" ca="1" si="117"/>
        <v/>
      </c>
      <c r="T227" s="42" t="str">
        <f t="shared" ca="1" si="126"/>
        <v/>
      </c>
      <c r="U227" s="42" t="str">
        <f t="shared" ca="1" si="127"/>
        <v/>
      </c>
      <c r="V227" s="41">
        <f t="shared" ca="1" si="114"/>
        <v>1</v>
      </c>
      <c r="W227" s="45" t="str">
        <f t="shared" ca="1" si="103"/>
        <v>Appoggio!$A$11:$A$13</v>
      </c>
      <c r="X227" s="46" t="s">
        <v>426</v>
      </c>
      <c r="Y227" s="116"/>
      <c r="Z227" s="109"/>
    </row>
    <row r="228" spans="1:26" ht="14.25" customHeight="1">
      <c r="A228" s="213"/>
      <c r="B228" s="164"/>
      <c r="C228" s="163"/>
      <c r="D228" s="55" t="s">
        <v>18</v>
      </c>
      <c r="E228" s="67"/>
      <c r="F228" s="106" t="s">
        <v>18</v>
      </c>
      <c r="G228" s="165"/>
      <c r="H228" s="214"/>
      <c r="I228" s="153"/>
      <c r="J228" s="153"/>
      <c r="K228" s="184"/>
      <c r="L228" s="184"/>
      <c r="M228" s="47">
        <v>1</v>
      </c>
      <c r="N228" s="47">
        <f t="shared" si="115"/>
        <v>1</v>
      </c>
      <c r="O228" s="48" t="s">
        <v>21</v>
      </c>
      <c r="P228" s="49" cm="1">
        <f t="array" aca="1" ref="P228" ca="1">IF(F228&lt;&gt;"",SUMPRODUCT(MAX((INDIRECT(ADDRESS(1,COLUMN(K$1),2) &amp;":"&amp; ADDRESS(ROW(),COLUMN(K$1),4))&lt;&gt;"")*(ROW(INDIRECT(ADDRESS(1,COLUMN(K$1),2) &amp;":"&amp; ADDRESS(ROW(),COLUMN(K$1),4)))))),239)</f>
        <v>224</v>
      </c>
      <c r="Q228" s="50" t="str">
        <f t="shared" ca="1" si="102"/>
        <v/>
      </c>
      <c r="R228" s="50" t="str">
        <f t="shared" ca="1" si="116"/>
        <v/>
      </c>
      <c r="S228" s="50" t="str">
        <f t="shared" ca="1" si="117"/>
        <v/>
      </c>
      <c r="T228" s="51" t="str">
        <f t="shared" ca="1" si="126"/>
        <v/>
      </c>
      <c r="U228" s="51" t="str">
        <f t="shared" ca="1" si="127"/>
        <v/>
      </c>
      <c r="V228" s="50">
        <f t="shared" ca="1" si="114"/>
        <v>1</v>
      </c>
      <c r="W228" s="70" t="str">
        <f t="shared" ca="1" si="103"/>
        <v>Appoggio!$A$11:$A$13</v>
      </c>
      <c r="X228" s="52" t="s">
        <v>425</v>
      </c>
      <c r="Y228" s="117"/>
      <c r="Z228" s="110"/>
    </row>
    <row r="229" spans="1:26" ht="14.25" customHeight="1">
      <c r="A229" s="213"/>
      <c r="B229" s="164" t="s">
        <v>163</v>
      </c>
      <c r="C229" s="163" t="s">
        <v>428</v>
      </c>
      <c r="D229" s="55" t="s">
        <v>18</v>
      </c>
      <c r="E229" s="67"/>
      <c r="F229" s="106" t="s">
        <v>18</v>
      </c>
      <c r="G229" s="165" t="str">
        <f>IF(L229&gt;0,"✔","")</f>
        <v>✔</v>
      </c>
      <c r="H229" s="203" t="s">
        <v>162</v>
      </c>
      <c r="I229" s="71" t="s">
        <v>28</v>
      </c>
      <c r="J229" s="71" t="s">
        <v>480</v>
      </c>
      <c r="K229" s="184">
        <v>2</v>
      </c>
      <c r="L229" s="184">
        <f>IF(COUNTA(F229:F235)&lt;&gt;0,K229,0)</f>
        <v>2</v>
      </c>
      <c r="M229" s="60">
        <v>2</v>
      </c>
      <c r="N229" s="60">
        <f t="shared" si="115"/>
        <v>2</v>
      </c>
      <c r="O229" s="61" t="s">
        <v>21</v>
      </c>
      <c r="P229" s="41" cm="1">
        <f t="array" aca="1" ref="P229" ca="1">IF(F229&lt;&gt;"",SUMPRODUCT(MAX((INDIRECT(ADDRESS(1,COLUMN(K$1),2) &amp;":"&amp; ADDRESS(ROW(),COLUMN(K$1),4))&lt;&gt;"")*(ROW(INDIRECT(ADDRESS(1,COLUMN(K$1),2) &amp;":"&amp; ADDRESS(ROW(),COLUMN(K$1),4)))))),239)</f>
        <v>229</v>
      </c>
      <c r="Q229" s="41" t="str">
        <f t="shared" ca="1" si="102"/>
        <v/>
      </c>
      <c r="R229" s="41" t="str">
        <f t="shared" ca="1" si="116"/>
        <v/>
      </c>
      <c r="S229" s="41" t="str">
        <f t="shared" ca="1" si="117"/>
        <v/>
      </c>
      <c r="T229" s="62" t="str">
        <f t="shared" ca="1" si="126"/>
        <v/>
      </c>
      <c r="U229" s="63" t="str">
        <f t="shared" ca="1" si="127"/>
        <v/>
      </c>
      <c r="V229" s="64">
        <f t="shared" ca="1" si="114"/>
        <v>2</v>
      </c>
      <c r="W229" s="43" t="str">
        <f t="shared" ca="1" si="103"/>
        <v>Appoggio!$A$11:$A$13</v>
      </c>
      <c r="X229" s="65" t="s">
        <v>426</v>
      </c>
      <c r="Y229" s="118"/>
      <c r="Z229" s="111"/>
    </row>
    <row r="230" spans="1:26" ht="14.25" customHeight="1">
      <c r="A230" s="213"/>
      <c r="B230" s="164"/>
      <c r="C230" s="163"/>
      <c r="D230" s="55" t="s">
        <v>18</v>
      </c>
      <c r="E230" s="67"/>
      <c r="F230" s="106" t="s">
        <v>18</v>
      </c>
      <c r="G230" s="165"/>
      <c r="H230" s="203"/>
      <c r="I230" s="66"/>
      <c r="J230" s="66"/>
      <c r="K230" s="184"/>
      <c r="L230" s="184"/>
      <c r="M230" s="39">
        <v>1</v>
      </c>
      <c r="N230" s="39">
        <f t="shared" si="115"/>
        <v>1</v>
      </c>
      <c r="O230" s="40" t="s">
        <v>21</v>
      </c>
      <c r="P230" s="41" cm="1">
        <f t="array" aca="1" ref="P230" ca="1">IF(F230&lt;&gt;"",SUMPRODUCT(MAX((INDIRECT(ADDRESS(1,COLUMN(K$1),2) &amp;":"&amp; ADDRESS(ROW(),COLUMN(K$1),4))&lt;&gt;"")*(ROW(INDIRECT(ADDRESS(1,COLUMN(K$1),2) &amp;":"&amp; ADDRESS(ROW(),COLUMN(K$1),4)))))),239)</f>
        <v>229</v>
      </c>
      <c r="Q230" s="41" t="str">
        <f t="shared" ca="1" si="102"/>
        <v/>
      </c>
      <c r="R230" s="41" t="str">
        <f t="shared" ca="1" si="116"/>
        <v/>
      </c>
      <c r="S230" s="41" t="str">
        <f t="shared" ca="1" si="117"/>
        <v/>
      </c>
      <c r="T230" s="42" t="str">
        <f t="shared" ca="1" si="126"/>
        <v/>
      </c>
      <c r="U230" s="42" t="str">
        <f t="shared" ca="1" si="127"/>
        <v/>
      </c>
      <c r="V230" s="41">
        <f t="shared" ca="1" si="114"/>
        <v>2</v>
      </c>
      <c r="W230" s="45" t="str">
        <f t="shared" ca="1" si="103"/>
        <v>Appoggio!$A$11:$A$13</v>
      </c>
      <c r="X230" s="46" t="s">
        <v>429</v>
      </c>
      <c r="Y230" s="116"/>
      <c r="Z230" s="109"/>
    </row>
    <row r="231" spans="1:26" ht="14.25" customHeight="1">
      <c r="A231" s="213"/>
      <c r="B231" s="164"/>
      <c r="C231" s="163"/>
      <c r="D231" s="55" t="s">
        <v>18</v>
      </c>
      <c r="E231" s="67"/>
      <c r="F231" s="106" t="s">
        <v>18</v>
      </c>
      <c r="G231" s="165"/>
      <c r="H231" s="203"/>
      <c r="I231" s="66"/>
      <c r="J231" s="66"/>
      <c r="K231" s="184"/>
      <c r="L231" s="184"/>
      <c r="M231" s="39">
        <v>3</v>
      </c>
      <c r="N231" s="39">
        <f t="shared" si="115"/>
        <v>3</v>
      </c>
      <c r="O231" s="40" t="s">
        <v>21</v>
      </c>
      <c r="P231" s="41" cm="1">
        <f t="array" aca="1" ref="P231" ca="1">IF(F231&lt;&gt;"",SUMPRODUCT(MAX((INDIRECT(ADDRESS(1,COLUMN(K$1),2) &amp;":"&amp; ADDRESS(ROW(),COLUMN(K$1),4))&lt;&gt;"")*(ROW(INDIRECT(ADDRESS(1,COLUMN(K$1),2) &amp;":"&amp; ADDRESS(ROW(),COLUMN(K$1),4)))))),239)</f>
        <v>229</v>
      </c>
      <c r="Q231" s="41" t="str">
        <f t="shared" ca="1" si="102"/>
        <v/>
      </c>
      <c r="R231" s="41" t="str">
        <f t="shared" ca="1" si="116"/>
        <v/>
      </c>
      <c r="S231" s="41" t="str">
        <f t="shared" ca="1" si="117"/>
        <v/>
      </c>
      <c r="T231" s="42" t="str">
        <f t="shared" ca="1" si="126"/>
        <v/>
      </c>
      <c r="U231" s="42" t="str">
        <f t="shared" ca="1" si="127"/>
        <v/>
      </c>
      <c r="V231" s="41">
        <f t="shared" ca="1" si="114"/>
        <v>2</v>
      </c>
      <c r="W231" s="45" t="str">
        <f t="shared" ca="1" si="103"/>
        <v>Appoggio!$A$11:$A$13</v>
      </c>
      <c r="X231" s="46" t="s">
        <v>430</v>
      </c>
      <c r="Y231" s="116"/>
      <c r="Z231" s="109"/>
    </row>
    <row r="232" spans="1:26" ht="14.25" customHeight="1">
      <c r="A232" s="213"/>
      <c r="B232" s="164"/>
      <c r="C232" s="163"/>
      <c r="D232" s="55" t="s">
        <v>18</v>
      </c>
      <c r="E232" s="67"/>
      <c r="F232" s="106" t="s">
        <v>18</v>
      </c>
      <c r="G232" s="165"/>
      <c r="H232" s="203"/>
      <c r="I232" s="66"/>
      <c r="J232" s="66"/>
      <c r="K232" s="184"/>
      <c r="L232" s="184"/>
      <c r="M232" s="39">
        <v>2</v>
      </c>
      <c r="N232" s="39">
        <f t="shared" si="115"/>
        <v>2</v>
      </c>
      <c r="O232" s="40" t="s">
        <v>21</v>
      </c>
      <c r="P232" s="41" cm="1">
        <f t="array" aca="1" ref="P232" ca="1">IF(F232&lt;&gt;"",SUMPRODUCT(MAX((INDIRECT(ADDRESS(1,COLUMN(K$1),2) &amp;":"&amp; ADDRESS(ROW(),COLUMN(K$1),4))&lt;&gt;"")*(ROW(INDIRECT(ADDRESS(1,COLUMN(K$1),2) &amp;":"&amp; ADDRESS(ROW(),COLUMN(K$1),4)))))),239)</f>
        <v>229</v>
      </c>
      <c r="Q232" s="41" t="str">
        <f t="shared" ca="1" si="102"/>
        <v/>
      </c>
      <c r="R232" s="41" t="str">
        <f t="shared" ca="1" si="116"/>
        <v/>
      </c>
      <c r="S232" s="41" t="str">
        <f t="shared" ca="1" si="117"/>
        <v/>
      </c>
      <c r="T232" s="42" t="str">
        <f t="shared" ca="1" si="126"/>
        <v/>
      </c>
      <c r="U232" s="42" t="str">
        <f t="shared" ca="1" si="127"/>
        <v/>
      </c>
      <c r="V232" s="41">
        <f t="shared" ca="1" si="114"/>
        <v>2</v>
      </c>
      <c r="W232" s="45" t="str">
        <f t="shared" ca="1" si="103"/>
        <v>Appoggio!$A$11:$A$13</v>
      </c>
      <c r="X232" s="46" t="s">
        <v>431</v>
      </c>
      <c r="Y232" s="116"/>
      <c r="Z232" s="109"/>
    </row>
    <row r="233" spans="1:26" ht="14.25" customHeight="1">
      <c r="A233" s="213"/>
      <c r="B233" s="164"/>
      <c r="C233" s="163"/>
      <c r="D233" s="55" t="s">
        <v>18</v>
      </c>
      <c r="E233" s="67"/>
      <c r="F233" s="106" t="s">
        <v>18</v>
      </c>
      <c r="G233" s="165"/>
      <c r="H233" s="203"/>
      <c r="I233" s="66"/>
      <c r="J233" s="66"/>
      <c r="K233" s="184"/>
      <c r="L233" s="184"/>
      <c r="M233" s="39">
        <v>1</v>
      </c>
      <c r="N233" s="39">
        <f t="shared" si="115"/>
        <v>1</v>
      </c>
      <c r="O233" s="40" t="s">
        <v>21</v>
      </c>
      <c r="P233" s="41" cm="1">
        <f t="array" aca="1" ref="P233" ca="1">IF(F233&lt;&gt;"",SUMPRODUCT(MAX((INDIRECT(ADDRESS(1,COLUMN(K$1),2) &amp;":"&amp; ADDRESS(ROW(),COLUMN(K$1),4))&lt;&gt;"")*(ROW(INDIRECT(ADDRESS(1,COLUMN(K$1),2) &amp;":"&amp; ADDRESS(ROW(),COLUMN(K$1),4)))))),239)</f>
        <v>229</v>
      </c>
      <c r="Q233" s="41" t="str">
        <f t="shared" ca="1" si="102"/>
        <v/>
      </c>
      <c r="R233" s="41" t="str">
        <f t="shared" ca="1" si="116"/>
        <v/>
      </c>
      <c r="S233" s="41" t="str">
        <f t="shared" ca="1" si="117"/>
        <v/>
      </c>
      <c r="T233" s="42" t="str">
        <f t="shared" ca="1" si="126"/>
        <v/>
      </c>
      <c r="U233" s="42" t="str">
        <f t="shared" ca="1" si="127"/>
        <v/>
      </c>
      <c r="V233" s="41">
        <f t="shared" ca="1" si="114"/>
        <v>2</v>
      </c>
      <c r="W233" s="45" t="str">
        <f t="shared" ca="1" si="103"/>
        <v>Appoggio!$A$11:$A$13</v>
      </c>
      <c r="X233" s="46" t="s">
        <v>425</v>
      </c>
      <c r="Y233" s="116"/>
      <c r="Z233" s="109"/>
    </row>
    <row r="234" spans="1:26" ht="14.25" customHeight="1">
      <c r="A234" s="213"/>
      <c r="B234" s="164"/>
      <c r="C234" s="163"/>
      <c r="D234" s="55" t="s">
        <v>18</v>
      </c>
      <c r="E234" s="67"/>
      <c r="F234" s="106" t="s">
        <v>18</v>
      </c>
      <c r="G234" s="165"/>
      <c r="H234" s="201" t="s">
        <v>161</v>
      </c>
      <c r="I234" s="215" t="s">
        <v>164</v>
      </c>
      <c r="J234" s="215" t="s">
        <v>528</v>
      </c>
      <c r="K234" s="184"/>
      <c r="L234" s="184"/>
      <c r="M234" s="39">
        <v>2</v>
      </c>
      <c r="N234" s="39">
        <f t="shared" si="115"/>
        <v>2</v>
      </c>
      <c r="O234" s="40" t="s">
        <v>21</v>
      </c>
      <c r="P234" s="41" cm="1">
        <f t="array" aca="1" ref="P234" ca="1">IF(F234&lt;&gt;"",SUMPRODUCT(MAX((INDIRECT(ADDRESS(1,COLUMN(K$1),2) &amp;":"&amp; ADDRESS(ROW(),COLUMN(K$1),4))&lt;&gt;"")*(ROW(INDIRECT(ADDRESS(1,COLUMN(K$1),2) &amp;":"&amp; ADDRESS(ROW(),COLUMN(K$1),4)))))),239)</f>
        <v>229</v>
      </c>
      <c r="Q234" s="41" t="str">
        <f t="shared" ca="1" si="102"/>
        <v/>
      </c>
      <c r="R234" s="41" t="str">
        <f t="shared" ca="1" si="116"/>
        <v/>
      </c>
      <c r="S234" s="41" t="str">
        <f t="shared" ca="1" si="117"/>
        <v/>
      </c>
      <c r="T234" s="42" t="str">
        <f t="shared" ca="1" si="126"/>
        <v/>
      </c>
      <c r="U234" s="42" t="str">
        <f t="shared" ca="1" si="127"/>
        <v/>
      </c>
      <c r="V234" s="41">
        <f t="shared" ca="1" si="114"/>
        <v>2</v>
      </c>
      <c r="W234" s="45" t="str">
        <f t="shared" ca="1" si="103"/>
        <v>Appoggio!$A$11:$A$13</v>
      </c>
      <c r="X234" s="46" t="s">
        <v>423</v>
      </c>
      <c r="Y234" s="116"/>
      <c r="Z234" s="109"/>
    </row>
    <row r="235" spans="1:26" ht="14.25" customHeight="1">
      <c r="A235" s="213"/>
      <c r="B235" s="164"/>
      <c r="C235" s="163"/>
      <c r="D235" s="55" t="s">
        <v>18</v>
      </c>
      <c r="E235" s="67"/>
      <c r="F235" s="106" t="s">
        <v>18</v>
      </c>
      <c r="G235" s="165"/>
      <c r="H235" s="201"/>
      <c r="I235" s="215"/>
      <c r="J235" s="215"/>
      <c r="K235" s="184"/>
      <c r="L235" s="184"/>
      <c r="M235" s="39">
        <v>2</v>
      </c>
      <c r="N235" s="39">
        <f t="shared" si="115"/>
        <v>2</v>
      </c>
      <c r="O235" s="40" t="s">
        <v>21</v>
      </c>
      <c r="P235" s="49" cm="1">
        <f t="array" aca="1" ref="P235" ca="1">IF(F235&lt;&gt;"",SUMPRODUCT(MAX((INDIRECT(ADDRESS(1,COLUMN(K$1),2) &amp;":"&amp; ADDRESS(ROW(),COLUMN(K$1),4))&lt;&gt;"")*(ROW(INDIRECT(ADDRESS(1,COLUMN(K$1),2) &amp;":"&amp; ADDRESS(ROW(),COLUMN(K$1),4)))))),239)</f>
        <v>229</v>
      </c>
      <c r="Q235" s="50" t="str">
        <f t="shared" ca="1" si="102"/>
        <v/>
      </c>
      <c r="R235" s="50" t="str">
        <f t="shared" ca="1" si="116"/>
        <v/>
      </c>
      <c r="S235" s="50" t="str">
        <f t="shared" ca="1" si="117"/>
        <v/>
      </c>
      <c r="T235" s="51" t="str">
        <f t="shared" ca="1" si="126"/>
        <v/>
      </c>
      <c r="U235" s="42" t="str">
        <f t="shared" ca="1" si="127"/>
        <v/>
      </c>
      <c r="V235" s="41">
        <f t="shared" ca="1" si="114"/>
        <v>2</v>
      </c>
      <c r="W235" s="45" t="str">
        <f t="shared" ca="1" si="103"/>
        <v>Appoggio!$A$11:$A$13</v>
      </c>
      <c r="X235" s="46" t="s">
        <v>432</v>
      </c>
      <c r="Y235" s="117"/>
      <c r="Z235" s="109"/>
    </row>
    <row r="236" spans="1:26" ht="14.25" customHeight="1">
      <c r="A236" s="213"/>
      <c r="B236" s="164" t="s">
        <v>165</v>
      </c>
      <c r="C236" s="163" t="s">
        <v>433</v>
      </c>
      <c r="D236" s="55" t="s">
        <v>18</v>
      </c>
      <c r="E236" s="67"/>
      <c r="F236" s="106" t="s">
        <v>18</v>
      </c>
      <c r="G236" s="165" t="str">
        <f>IF(L236&gt;0,"✔","")</f>
        <v>✔</v>
      </c>
      <c r="H236" s="164" t="s">
        <v>166</v>
      </c>
      <c r="I236" s="71" t="s">
        <v>167</v>
      </c>
      <c r="J236" s="71" t="s">
        <v>529</v>
      </c>
      <c r="K236" s="184">
        <v>1</v>
      </c>
      <c r="L236" s="184">
        <f>IF(COUNTA(F236:F240)&lt;&gt;0,K236,0)</f>
        <v>1</v>
      </c>
      <c r="M236" s="60">
        <v>3</v>
      </c>
      <c r="N236" s="60">
        <f t="shared" si="115"/>
        <v>3</v>
      </c>
      <c r="O236" s="61" t="s">
        <v>21</v>
      </c>
      <c r="P236" s="41" cm="1">
        <f t="array" aca="1" ref="P236" ca="1">IF(F236&lt;&gt;"",SUMPRODUCT(MAX((INDIRECT(ADDRESS(1,COLUMN(K$1),2) &amp;":"&amp; ADDRESS(ROW(),COLUMN(K$1),4))&lt;&gt;"")*(ROW(INDIRECT(ADDRESS(1,COLUMN(K$1),2) &amp;":"&amp; ADDRESS(ROW(),COLUMN(K$1),4)))))),239)</f>
        <v>236</v>
      </c>
      <c r="Q236" s="41" t="str">
        <f t="shared" ca="1" si="102"/>
        <v/>
      </c>
      <c r="R236" s="41" t="str">
        <f t="shared" ca="1" si="116"/>
        <v/>
      </c>
      <c r="S236" s="41" t="str">
        <f t="shared" ca="1" si="117"/>
        <v/>
      </c>
      <c r="T236" s="62" t="str">
        <f t="shared" ca="1" si="126"/>
        <v/>
      </c>
      <c r="U236" s="63" t="str">
        <f t="shared" ca="1" si="127"/>
        <v/>
      </c>
      <c r="V236" s="64">
        <f t="shared" ca="1" si="114"/>
        <v>1</v>
      </c>
      <c r="W236" s="43" t="str">
        <f t="shared" ca="1" si="103"/>
        <v>Appoggio!$A$11:$A$13</v>
      </c>
      <c r="X236" s="65" t="s">
        <v>436</v>
      </c>
      <c r="Y236" s="118"/>
      <c r="Z236" s="111"/>
    </row>
    <row r="237" spans="1:26" ht="28">
      <c r="A237" s="213"/>
      <c r="B237" s="164"/>
      <c r="C237" s="163"/>
      <c r="D237" s="55" t="s">
        <v>18</v>
      </c>
      <c r="E237" s="67"/>
      <c r="F237" s="106" t="s">
        <v>18</v>
      </c>
      <c r="G237" s="165"/>
      <c r="H237" s="164"/>
      <c r="I237" s="66"/>
      <c r="J237" s="75" t="s">
        <v>525</v>
      </c>
      <c r="K237" s="184"/>
      <c r="L237" s="184"/>
      <c r="M237" s="39">
        <v>2</v>
      </c>
      <c r="N237" s="39">
        <f t="shared" si="115"/>
        <v>2</v>
      </c>
      <c r="O237" s="40" t="s">
        <v>21</v>
      </c>
      <c r="P237" s="41" cm="1">
        <f t="array" aca="1" ref="P237" ca="1">IF(F237&lt;&gt;"",SUMPRODUCT(MAX((INDIRECT(ADDRESS(1,COLUMN(K$1),2) &amp;":"&amp; ADDRESS(ROW(),COLUMN(K$1),4))&lt;&gt;"")*(ROW(INDIRECT(ADDRESS(1,COLUMN(K$1),2) &amp;":"&amp; ADDRESS(ROW(),COLUMN(K$1),4)))))),239)</f>
        <v>236</v>
      </c>
      <c r="Q237" s="41" t="str">
        <f t="shared" ca="1" si="102"/>
        <v/>
      </c>
      <c r="R237" s="41" t="str">
        <f t="shared" ca="1" si="116"/>
        <v/>
      </c>
      <c r="S237" s="41" t="str">
        <f t="shared" ca="1" si="117"/>
        <v/>
      </c>
      <c r="T237" s="42" t="str">
        <f t="shared" ca="1" si="126"/>
        <v/>
      </c>
      <c r="U237" s="42" t="str">
        <f t="shared" ca="1" si="127"/>
        <v/>
      </c>
      <c r="V237" s="41">
        <f t="shared" ca="1" si="114"/>
        <v>1</v>
      </c>
      <c r="W237" s="45" t="str">
        <f t="shared" ca="1" si="103"/>
        <v>Appoggio!$A$11:$A$13</v>
      </c>
      <c r="X237" s="46" t="s">
        <v>435</v>
      </c>
      <c r="Y237" s="116"/>
      <c r="Z237" s="109"/>
    </row>
    <row r="238" spans="1:26" ht="14.25" customHeight="1">
      <c r="A238" s="213"/>
      <c r="B238" s="164"/>
      <c r="C238" s="163"/>
      <c r="D238" s="55" t="s">
        <v>18</v>
      </c>
      <c r="E238" s="67"/>
      <c r="F238" s="106" t="s">
        <v>18</v>
      </c>
      <c r="G238" s="165"/>
      <c r="H238" s="164"/>
      <c r="I238" s="66"/>
      <c r="J238" s="66"/>
      <c r="K238" s="184"/>
      <c r="L238" s="184"/>
      <c r="M238" s="39">
        <v>2</v>
      </c>
      <c r="N238" s="39">
        <f t="shared" si="115"/>
        <v>2</v>
      </c>
      <c r="O238" s="40" t="s">
        <v>21</v>
      </c>
      <c r="P238" s="41" cm="1">
        <f t="array" aca="1" ref="P238" ca="1">IF(F238&lt;&gt;"",SUMPRODUCT(MAX((INDIRECT(ADDRESS(1,COLUMN(K$1),2) &amp;":"&amp; ADDRESS(ROW(),COLUMN(K$1),4))&lt;&gt;"")*(ROW(INDIRECT(ADDRESS(1,COLUMN(K$1),2) &amp;":"&amp; ADDRESS(ROW(),COLUMN(K$1),4)))))),239)</f>
        <v>236</v>
      </c>
      <c r="Q238" s="41" t="str">
        <f t="shared" ca="1" si="102"/>
        <v/>
      </c>
      <c r="R238" s="41" t="str">
        <f t="shared" ca="1" si="116"/>
        <v/>
      </c>
      <c r="S238" s="41" t="str">
        <f t="shared" ca="1" si="117"/>
        <v/>
      </c>
      <c r="T238" s="42" t="str">
        <f t="shared" ca="1" si="126"/>
        <v/>
      </c>
      <c r="U238" s="42" t="str">
        <f t="shared" ca="1" si="127"/>
        <v/>
      </c>
      <c r="V238" s="41">
        <f t="shared" ca="1" si="114"/>
        <v>1</v>
      </c>
      <c r="W238" s="45" t="str">
        <f t="shared" ca="1" si="103"/>
        <v>Appoggio!$A$11:$A$13</v>
      </c>
      <c r="X238" s="46" t="s">
        <v>437</v>
      </c>
      <c r="Y238" s="116"/>
      <c r="Z238" s="109"/>
    </row>
    <row r="239" spans="1:26" ht="14.25" customHeight="1">
      <c r="A239" s="213"/>
      <c r="B239" s="164"/>
      <c r="C239" s="163"/>
      <c r="D239" s="55" t="s">
        <v>18</v>
      </c>
      <c r="E239" s="67"/>
      <c r="F239" s="106" t="s">
        <v>18</v>
      </c>
      <c r="G239" s="165"/>
      <c r="H239" s="164"/>
      <c r="I239" s="66" t="s">
        <v>42</v>
      </c>
      <c r="J239" s="66" t="s">
        <v>509</v>
      </c>
      <c r="K239" s="184"/>
      <c r="L239" s="184"/>
      <c r="M239" s="39">
        <v>3</v>
      </c>
      <c r="N239" s="39">
        <f t="shared" si="115"/>
        <v>3</v>
      </c>
      <c r="O239" s="40" t="s">
        <v>21</v>
      </c>
      <c r="P239" s="41" cm="1">
        <f t="array" aca="1" ref="P239" ca="1">IF(F239&lt;&gt;"",SUMPRODUCT(MAX((INDIRECT(ADDRESS(1,COLUMN(K$1),2) &amp;":"&amp; ADDRESS(ROW(),COLUMN(K$1),4))&lt;&gt;"")*(ROW(INDIRECT(ADDRESS(1,COLUMN(K$1),2) &amp;":"&amp; ADDRESS(ROW(),COLUMN(K$1),4)))))),239)</f>
        <v>236</v>
      </c>
      <c r="Q239" s="41" t="str">
        <f t="shared" ca="1" si="102"/>
        <v/>
      </c>
      <c r="R239" s="41" t="str">
        <f t="shared" ca="1" si="116"/>
        <v/>
      </c>
      <c r="S239" s="41" t="str">
        <f t="shared" ca="1" si="117"/>
        <v/>
      </c>
      <c r="T239" s="42" t="str">
        <f t="shared" ca="1" si="126"/>
        <v/>
      </c>
      <c r="U239" s="42" t="str">
        <f t="shared" ca="1" si="127"/>
        <v/>
      </c>
      <c r="V239" s="41">
        <f t="shared" ca="1" si="114"/>
        <v>1</v>
      </c>
      <c r="W239" s="45" t="str">
        <f t="shared" ca="1" si="103"/>
        <v>Appoggio!$A$11:$A$13</v>
      </c>
      <c r="X239" s="46" t="s">
        <v>434</v>
      </c>
      <c r="Y239" s="116"/>
      <c r="Z239" s="109"/>
    </row>
    <row r="240" spans="1:26" ht="14.25" customHeight="1">
      <c r="A240" s="213"/>
      <c r="B240" s="164"/>
      <c r="C240" s="163"/>
      <c r="D240" s="55" t="s">
        <v>18</v>
      </c>
      <c r="E240" s="67"/>
      <c r="F240" s="106" t="s">
        <v>18</v>
      </c>
      <c r="G240" s="165"/>
      <c r="H240" s="164"/>
      <c r="I240" s="66" t="s">
        <v>164</v>
      </c>
      <c r="J240" s="66" t="s">
        <v>528</v>
      </c>
      <c r="K240" s="184"/>
      <c r="L240" s="184"/>
      <c r="M240" s="39">
        <v>2</v>
      </c>
      <c r="N240" s="39">
        <f t="shared" si="115"/>
        <v>2</v>
      </c>
      <c r="O240" s="40" t="s">
        <v>21</v>
      </c>
      <c r="P240" s="49" cm="1">
        <f t="array" aca="1" ref="P240" ca="1">IF(F240&lt;&gt;"",SUMPRODUCT(MAX((INDIRECT(ADDRESS(1,COLUMN(K$1),2) &amp;":"&amp; ADDRESS(ROW(),COLUMN(K$1),4))&lt;&gt;"")*(ROW(INDIRECT(ADDRESS(1,COLUMN(K$1),2) &amp;":"&amp; ADDRESS(ROW(),COLUMN(K$1),4)))))),239)</f>
        <v>236</v>
      </c>
      <c r="Q240" s="50" t="str">
        <f t="shared" ca="1" si="102"/>
        <v/>
      </c>
      <c r="R240" s="50" t="str">
        <f t="shared" ca="1" si="116"/>
        <v/>
      </c>
      <c r="S240" s="50" t="str">
        <f t="shared" ca="1" si="117"/>
        <v/>
      </c>
      <c r="T240" s="51" t="str">
        <f t="shared" ca="1" si="126"/>
        <v/>
      </c>
      <c r="U240" s="42" t="str">
        <f t="shared" ca="1" si="127"/>
        <v/>
      </c>
      <c r="V240" s="41">
        <f t="shared" ca="1" si="114"/>
        <v>1</v>
      </c>
      <c r="W240" s="45" t="str">
        <f t="shared" ca="1" si="103"/>
        <v>Appoggio!$A$11:$A$13</v>
      </c>
      <c r="X240" s="46" t="s">
        <v>446</v>
      </c>
      <c r="Y240" s="117"/>
      <c r="Z240" s="109"/>
    </row>
    <row r="241" spans="1:26" ht="14.25" customHeight="1">
      <c r="A241" s="213"/>
      <c r="B241" s="164" t="s">
        <v>169</v>
      </c>
      <c r="C241" s="163" t="s">
        <v>443</v>
      </c>
      <c r="D241" s="55" t="s">
        <v>18</v>
      </c>
      <c r="E241" s="67"/>
      <c r="F241" s="106" t="s">
        <v>18</v>
      </c>
      <c r="G241" s="165" t="str">
        <f>IF(L241&gt;0,"✔","")</f>
        <v>✔</v>
      </c>
      <c r="H241" s="164" t="s">
        <v>170</v>
      </c>
      <c r="I241" s="71" t="s">
        <v>28</v>
      </c>
      <c r="J241" s="71" t="s">
        <v>480</v>
      </c>
      <c r="K241" s="184">
        <v>1</v>
      </c>
      <c r="L241" s="184">
        <f>IF(COUNTA(F241:F245)&lt;&gt;0,K241,0)</f>
        <v>1</v>
      </c>
      <c r="M241" s="60">
        <v>3</v>
      </c>
      <c r="N241" s="60">
        <f t="shared" si="115"/>
        <v>3</v>
      </c>
      <c r="O241" s="61" t="s">
        <v>21</v>
      </c>
      <c r="P241" s="41" cm="1">
        <f t="array" aca="1" ref="P241" ca="1">IF(F241&lt;&gt;"",SUMPRODUCT(MAX((INDIRECT(ADDRESS(1,COLUMN(K$1),2) &amp;":"&amp; ADDRESS(ROW(),COLUMN(K$1),4))&lt;&gt;"")*(ROW(INDIRECT(ADDRESS(1,COLUMN(K$1),2) &amp;":"&amp; ADDRESS(ROW(),COLUMN(K$1),4)))))),239)</f>
        <v>241</v>
      </c>
      <c r="Q241" s="41" t="str">
        <f t="shared" ca="1" si="102"/>
        <v/>
      </c>
      <c r="R241" s="41" t="str">
        <f t="shared" ca="1" si="116"/>
        <v/>
      </c>
      <c r="S241" s="41" t="str">
        <f t="shared" ca="1" si="117"/>
        <v/>
      </c>
      <c r="T241" s="62" t="str">
        <f t="shared" ca="1" si="126"/>
        <v/>
      </c>
      <c r="U241" s="63" t="str">
        <f t="shared" ca="1" si="127"/>
        <v/>
      </c>
      <c r="V241" s="64">
        <f t="shared" ca="1" si="114"/>
        <v>1</v>
      </c>
      <c r="W241" s="43" t="str">
        <f t="shared" ca="1" si="103"/>
        <v>Appoggio!$A$11:$A$13</v>
      </c>
      <c r="X241" s="65" t="s">
        <v>441</v>
      </c>
      <c r="Y241" s="118"/>
      <c r="Z241" s="111"/>
    </row>
    <row r="242" spans="1:26" ht="28">
      <c r="A242" s="213"/>
      <c r="B242" s="164"/>
      <c r="C242" s="163"/>
      <c r="D242" s="55" t="s">
        <v>18</v>
      </c>
      <c r="E242" s="67"/>
      <c r="F242" s="106" t="s">
        <v>18</v>
      </c>
      <c r="G242" s="165"/>
      <c r="H242" s="164"/>
      <c r="I242" s="66"/>
      <c r="J242" s="75" t="s">
        <v>525</v>
      </c>
      <c r="K242" s="184"/>
      <c r="L242" s="184"/>
      <c r="M242" s="39">
        <v>1</v>
      </c>
      <c r="N242" s="39">
        <f t="shared" si="115"/>
        <v>1</v>
      </c>
      <c r="O242" s="40" t="s">
        <v>21</v>
      </c>
      <c r="P242" s="41" cm="1">
        <f t="array" aca="1" ref="P242" ca="1">IF(F242&lt;&gt;"",SUMPRODUCT(MAX((INDIRECT(ADDRESS(1,COLUMN(K$1),2) &amp;":"&amp; ADDRESS(ROW(),COLUMN(K$1),4))&lt;&gt;"")*(ROW(INDIRECT(ADDRESS(1,COLUMN(K$1),2) &amp;":"&amp; ADDRESS(ROW(),COLUMN(K$1),4)))))),239)</f>
        <v>241</v>
      </c>
      <c r="Q242" s="41" t="str">
        <f t="shared" ca="1" si="102"/>
        <v/>
      </c>
      <c r="R242" s="41" t="str">
        <f t="shared" ca="1" si="116"/>
        <v/>
      </c>
      <c r="S242" s="41" t="str">
        <f t="shared" ca="1" si="117"/>
        <v/>
      </c>
      <c r="T242" s="42" t="str">
        <f t="shared" ca="1" si="126"/>
        <v/>
      </c>
      <c r="U242" s="42" t="str">
        <f t="shared" ca="1" si="127"/>
        <v/>
      </c>
      <c r="V242" s="41">
        <f t="shared" ca="1" si="114"/>
        <v>1</v>
      </c>
      <c r="W242" s="45" t="str">
        <f t="shared" ca="1" si="103"/>
        <v>Appoggio!$A$11:$A$13</v>
      </c>
      <c r="X242" s="46" t="s">
        <v>438</v>
      </c>
      <c r="Y242" s="116"/>
      <c r="Z242" s="109"/>
    </row>
    <row r="243" spans="1:26" ht="23">
      <c r="A243" s="213"/>
      <c r="B243" s="164"/>
      <c r="C243" s="163"/>
      <c r="D243" s="55" t="s">
        <v>18</v>
      </c>
      <c r="E243" s="67"/>
      <c r="F243" s="106" t="s">
        <v>18</v>
      </c>
      <c r="G243" s="165"/>
      <c r="H243" s="164"/>
      <c r="I243" s="66" t="s">
        <v>42</v>
      </c>
      <c r="J243" s="66" t="s">
        <v>509</v>
      </c>
      <c r="K243" s="184"/>
      <c r="L243" s="184"/>
      <c r="M243" s="39">
        <v>1</v>
      </c>
      <c r="N243" s="39">
        <f t="shared" si="115"/>
        <v>1</v>
      </c>
      <c r="O243" s="40" t="s">
        <v>21</v>
      </c>
      <c r="P243" s="41" cm="1">
        <f t="array" aca="1" ref="P243" ca="1">IF(F243&lt;&gt;"",SUMPRODUCT(MAX((INDIRECT(ADDRESS(1,COLUMN(K$1),2) &amp;":"&amp; ADDRESS(ROW(),COLUMN(K$1),4))&lt;&gt;"")*(ROW(INDIRECT(ADDRESS(1,COLUMN(K$1),2) &amp;":"&amp; ADDRESS(ROW(),COLUMN(K$1),4)))))),239)</f>
        <v>241</v>
      </c>
      <c r="Q243" s="41" t="str">
        <f t="shared" ca="1" si="102"/>
        <v/>
      </c>
      <c r="R243" s="41" t="str">
        <f t="shared" ca="1" si="116"/>
        <v/>
      </c>
      <c r="S243" s="41" t="str">
        <f t="shared" ca="1" si="117"/>
        <v/>
      </c>
      <c r="T243" s="42" t="str">
        <f t="shared" ca="1" si="126"/>
        <v/>
      </c>
      <c r="U243" s="42" t="str">
        <f t="shared" ca="1" si="127"/>
        <v/>
      </c>
      <c r="V243" s="41">
        <f t="shared" ca="1" si="114"/>
        <v>1</v>
      </c>
      <c r="W243" s="45" t="str">
        <f t="shared" ca="1" si="103"/>
        <v>Appoggio!$A$11:$A$13</v>
      </c>
      <c r="X243" s="46" t="s">
        <v>439</v>
      </c>
      <c r="Y243" s="116"/>
      <c r="Z243" s="109"/>
    </row>
    <row r="244" spans="1:26" ht="14.25" customHeight="1">
      <c r="A244" s="213"/>
      <c r="B244" s="164"/>
      <c r="C244" s="163"/>
      <c r="D244" s="55" t="s">
        <v>18</v>
      </c>
      <c r="E244" s="67"/>
      <c r="F244" s="106" t="s">
        <v>18</v>
      </c>
      <c r="G244" s="165"/>
      <c r="H244" s="164"/>
      <c r="I244" s="66" t="s">
        <v>164</v>
      </c>
      <c r="J244" s="66" t="s">
        <v>528</v>
      </c>
      <c r="K244" s="184"/>
      <c r="L244" s="184"/>
      <c r="M244" s="39">
        <v>3</v>
      </c>
      <c r="N244" s="39">
        <f t="shared" si="115"/>
        <v>3</v>
      </c>
      <c r="O244" s="40" t="s">
        <v>21</v>
      </c>
      <c r="P244" s="41" cm="1">
        <f t="array" aca="1" ref="P244" ca="1">IF(F244&lt;&gt;"",SUMPRODUCT(MAX((INDIRECT(ADDRESS(1,COLUMN(K$1),2) &amp;":"&amp; ADDRESS(ROW(),COLUMN(K$1),4))&lt;&gt;"")*(ROW(INDIRECT(ADDRESS(1,COLUMN(K$1),2) &amp;":"&amp; ADDRESS(ROW(),COLUMN(K$1),4)))))),239)</f>
        <v>241</v>
      </c>
      <c r="Q244" s="41" t="str">
        <f t="shared" ref="Q244:Q253" ca="1" si="133">IF(Y244&lt;&gt;"",VLOOKUP(Y244,INDIRECT(O244),2,0),"")</f>
        <v/>
      </c>
      <c r="R244" s="41" t="str">
        <f t="shared" ca="1" si="116"/>
        <v/>
      </c>
      <c r="S244" s="41" t="str">
        <f t="shared" ca="1" si="117"/>
        <v/>
      </c>
      <c r="T244" s="42" t="str">
        <f t="shared" ca="1" si="126"/>
        <v/>
      </c>
      <c r="U244" s="42" t="str">
        <f t="shared" ca="1" si="127"/>
        <v/>
      </c>
      <c r="V244" s="41">
        <f t="shared" ca="1" si="114"/>
        <v>1</v>
      </c>
      <c r="W244" s="45" t="str">
        <f t="shared" ca="1" si="103"/>
        <v>Appoggio!$A$11:$A$13</v>
      </c>
      <c r="X244" s="46" t="s">
        <v>440</v>
      </c>
      <c r="Y244" s="116"/>
      <c r="Z244" s="109"/>
    </row>
    <row r="245" spans="1:26" ht="14.25" customHeight="1">
      <c r="A245" s="213"/>
      <c r="B245" s="164"/>
      <c r="C245" s="163"/>
      <c r="D245" s="55" t="s">
        <v>18</v>
      </c>
      <c r="E245" s="67"/>
      <c r="F245" s="106" t="s">
        <v>18</v>
      </c>
      <c r="G245" s="165"/>
      <c r="H245" s="164"/>
      <c r="I245" s="72"/>
      <c r="J245" s="72"/>
      <c r="K245" s="184"/>
      <c r="L245" s="184"/>
      <c r="M245" s="39">
        <v>2</v>
      </c>
      <c r="N245" s="39">
        <f t="shared" si="115"/>
        <v>2</v>
      </c>
      <c r="O245" s="40" t="s">
        <v>21</v>
      </c>
      <c r="P245" s="49" cm="1">
        <f t="array" aca="1" ref="P245" ca="1">IF(F245&lt;&gt;"",SUMPRODUCT(MAX((INDIRECT(ADDRESS(1,COLUMN(K$1),2) &amp;":"&amp; ADDRESS(ROW(),COLUMN(K$1),4))&lt;&gt;"")*(ROW(INDIRECT(ADDRESS(1,COLUMN(K$1),2) &amp;":"&amp; ADDRESS(ROW(),COLUMN(K$1),4)))))),239)</f>
        <v>241</v>
      </c>
      <c r="Q245" s="50" t="str">
        <f t="shared" ca="1" si="133"/>
        <v/>
      </c>
      <c r="R245" s="50" t="str">
        <f t="shared" ca="1" si="116"/>
        <v/>
      </c>
      <c r="S245" s="50" t="str">
        <f t="shared" ca="1" si="117"/>
        <v/>
      </c>
      <c r="T245" s="42" t="str">
        <f t="shared" ca="1" si="126"/>
        <v/>
      </c>
      <c r="U245" s="42" t="str">
        <f t="shared" ca="1" si="127"/>
        <v/>
      </c>
      <c r="V245" s="41">
        <f t="shared" ca="1" si="114"/>
        <v>1</v>
      </c>
      <c r="W245" s="45" t="str">
        <f t="shared" ref="W245:W253" ca="1" si="134">ADDRESS(ROW(INDIRECT(O245)),COLUMN(INDIRECT(O245)),1,1,"Appoggio")&amp;":"&amp;ADDRESS(ROW(INDIRECT(O245))+ROWS(INDIRECT(O245))-1,COLUMN(INDIRECT(O245)),1,1)</f>
        <v>Appoggio!$A$11:$A$13</v>
      </c>
      <c r="X245" s="46" t="s">
        <v>442</v>
      </c>
      <c r="Y245" s="117"/>
      <c r="Z245" s="109"/>
    </row>
    <row r="246" spans="1:26" ht="14.25" customHeight="1">
      <c r="A246" s="213"/>
      <c r="B246" s="164" t="s">
        <v>171</v>
      </c>
      <c r="C246" s="163" t="s">
        <v>444</v>
      </c>
      <c r="D246" s="55" t="s">
        <v>18</v>
      </c>
      <c r="E246" s="67"/>
      <c r="F246" s="106" t="s">
        <v>18</v>
      </c>
      <c r="G246" s="165" t="str">
        <f>IF(L246&gt;0,"✔","")</f>
        <v>✔</v>
      </c>
      <c r="H246" s="164" t="s">
        <v>166</v>
      </c>
      <c r="I246" s="71" t="s">
        <v>28</v>
      </c>
      <c r="J246" s="71" t="s">
        <v>480</v>
      </c>
      <c r="K246" s="184">
        <v>1</v>
      </c>
      <c r="L246" s="184">
        <f>IF(COUNTA(F246:F249)&lt;&gt;0,K246,0)</f>
        <v>1</v>
      </c>
      <c r="M246" s="60">
        <v>3</v>
      </c>
      <c r="N246" s="60">
        <f t="shared" si="115"/>
        <v>3</v>
      </c>
      <c r="O246" s="61" t="s">
        <v>21</v>
      </c>
      <c r="P246" s="41" cm="1">
        <f t="array" aca="1" ref="P246" ca="1">IF(F246&lt;&gt;"",SUMPRODUCT(MAX((INDIRECT(ADDRESS(1,COLUMN(K$1),2) &amp;":"&amp; ADDRESS(ROW(),COLUMN(K$1),4))&lt;&gt;"")*(ROW(INDIRECT(ADDRESS(1,COLUMN(K$1),2) &amp;":"&amp; ADDRESS(ROW(),COLUMN(K$1),4)))))),239)</f>
        <v>246</v>
      </c>
      <c r="Q246" s="41" t="str">
        <f t="shared" ca="1" si="133"/>
        <v/>
      </c>
      <c r="R246" s="41" t="str">
        <f t="shared" ca="1" si="116"/>
        <v/>
      </c>
      <c r="S246" s="41" t="str">
        <f t="shared" ca="1" si="117"/>
        <v/>
      </c>
      <c r="T246" s="63" t="str">
        <f t="shared" ca="1" si="126"/>
        <v/>
      </c>
      <c r="U246" s="63" t="str">
        <f t="shared" ca="1" si="127"/>
        <v/>
      </c>
      <c r="V246" s="64">
        <f t="shared" ca="1" si="114"/>
        <v>1</v>
      </c>
      <c r="W246" s="43" t="str">
        <f t="shared" ca="1" si="134"/>
        <v>Appoggio!$A$11:$A$13</v>
      </c>
      <c r="X246" s="65" t="s">
        <v>445</v>
      </c>
      <c r="Y246" s="118"/>
      <c r="Z246" s="111"/>
    </row>
    <row r="247" spans="1:26" ht="28">
      <c r="A247" s="213"/>
      <c r="B247" s="164"/>
      <c r="C247" s="163"/>
      <c r="D247" s="55" t="s">
        <v>18</v>
      </c>
      <c r="E247" s="67"/>
      <c r="F247" s="106" t="s">
        <v>18</v>
      </c>
      <c r="G247" s="165"/>
      <c r="H247" s="164"/>
      <c r="I247" s="66"/>
      <c r="J247" s="75" t="s">
        <v>525</v>
      </c>
      <c r="K247" s="184"/>
      <c r="L247" s="184"/>
      <c r="M247" s="39">
        <v>2</v>
      </c>
      <c r="N247" s="39">
        <f t="shared" si="115"/>
        <v>2</v>
      </c>
      <c r="O247" s="40" t="s">
        <v>21</v>
      </c>
      <c r="P247" s="41" cm="1">
        <f t="array" aca="1" ref="P247" ca="1">IF(F247&lt;&gt;"",SUMPRODUCT(MAX((INDIRECT(ADDRESS(1,COLUMN(K$1),2) &amp;":"&amp; ADDRESS(ROW(),COLUMN(K$1),4))&lt;&gt;"")*(ROW(INDIRECT(ADDRESS(1,COLUMN(K$1),2) &amp;":"&amp; ADDRESS(ROW(),COLUMN(K$1),4)))))),239)</f>
        <v>246</v>
      </c>
      <c r="Q247" s="41" t="str">
        <f t="shared" ca="1" si="133"/>
        <v/>
      </c>
      <c r="R247" s="41" t="str">
        <f t="shared" ca="1" si="116"/>
        <v/>
      </c>
      <c r="S247" s="41" t="str">
        <f t="shared" ca="1" si="117"/>
        <v/>
      </c>
      <c r="T247" s="42" t="str">
        <f t="shared" ca="1" si="126"/>
        <v/>
      </c>
      <c r="U247" s="42" t="str">
        <f t="shared" ca="1" si="127"/>
        <v/>
      </c>
      <c r="V247" s="41">
        <f t="shared" ca="1" si="114"/>
        <v>1</v>
      </c>
      <c r="W247" s="45" t="str">
        <f t="shared" ca="1" si="134"/>
        <v>Appoggio!$A$11:$A$13</v>
      </c>
      <c r="X247" s="46" t="s">
        <v>447</v>
      </c>
      <c r="Y247" s="116"/>
      <c r="Z247" s="109"/>
    </row>
    <row r="248" spans="1:26" ht="14.25" customHeight="1">
      <c r="A248" s="213"/>
      <c r="B248" s="164"/>
      <c r="C248" s="163"/>
      <c r="D248" s="55" t="s">
        <v>18</v>
      </c>
      <c r="E248" s="67"/>
      <c r="F248" s="106" t="s">
        <v>18</v>
      </c>
      <c r="G248" s="165"/>
      <c r="H248" s="164"/>
      <c r="I248" s="66" t="s">
        <v>164</v>
      </c>
      <c r="J248" s="66" t="s">
        <v>528</v>
      </c>
      <c r="K248" s="184"/>
      <c r="L248" s="184"/>
      <c r="M248" s="39">
        <v>1</v>
      </c>
      <c r="N248" s="39">
        <f t="shared" si="115"/>
        <v>1</v>
      </c>
      <c r="O248" s="40" t="s">
        <v>21</v>
      </c>
      <c r="P248" s="41" cm="1">
        <f t="array" aca="1" ref="P248" ca="1">IF(F248&lt;&gt;"",SUMPRODUCT(MAX((INDIRECT(ADDRESS(1,COLUMN(K$1),2) &amp;":"&amp; ADDRESS(ROW(),COLUMN(K$1),4))&lt;&gt;"")*(ROW(INDIRECT(ADDRESS(1,COLUMN(K$1),2) &amp;":"&amp; ADDRESS(ROW(),COLUMN(K$1),4)))))),239)</f>
        <v>246</v>
      </c>
      <c r="Q248" s="41" t="str">
        <f t="shared" ca="1" si="133"/>
        <v/>
      </c>
      <c r="R248" s="41" t="str">
        <f t="shared" ca="1" si="116"/>
        <v/>
      </c>
      <c r="S248" s="41" t="str">
        <f t="shared" ca="1" si="117"/>
        <v/>
      </c>
      <c r="T248" s="42" t="str">
        <f t="shared" ca="1" si="126"/>
        <v/>
      </c>
      <c r="U248" s="42" t="str">
        <f t="shared" ca="1" si="127"/>
        <v/>
      </c>
      <c r="V248" s="41">
        <f t="shared" ca="1" si="114"/>
        <v>1</v>
      </c>
      <c r="W248" s="45" t="str">
        <f t="shared" ca="1" si="134"/>
        <v>Appoggio!$A$11:$A$13</v>
      </c>
      <c r="X248" s="46" t="s">
        <v>448</v>
      </c>
      <c r="Y248" s="116"/>
      <c r="Z248" s="109"/>
    </row>
    <row r="249" spans="1:26" ht="14.25" customHeight="1">
      <c r="A249" s="213"/>
      <c r="B249" s="164"/>
      <c r="C249" s="163"/>
      <c r="D249" s="55" t="s">
        <v>18</v>
      </c>
      <c r="E249" s="67"/>
      <c r="F249" s="106" t="s">
        <v>18</v>
      </c>
      <c r="G249" s="165"/>
      <c r="H249" s="164"/>
      <c r="I249" s="84"/>
      <c r="J249" s="84"/>
      <c r="K249" s="184"/>
      <c r="L249" s="184"/>
      <c r="M249" s="47">
        <v>3</v>
      </c>
      <c r="N249" s="47">
        <f t="shared" si="115"/>
        <v>3</v>
      </c>
      <c r="O249" s="48" t="s">
        <v>21</v>
      </c>
      <c r="P249" s="49" cm="1">
        <f t="array" aca="1" ref="P249" ca="1">IF(F249&lt;&gt;"",SUMPRODUCT(MAX((INDIRECT(ADDRESS(1,COLUMN(K$1),2) &amp;":"&amp; ADDRESS(ROW(),COLUMN(K$1),4))&lt;&gt;"")*(ROW(INDIRECT(ADDRESS(1,COLUMN(K$1),2) &amp;":"&amp; ADDRESS(ROW(),COLUMN(K$1),4)))))),239)</f>
        <v>246</v>
      </c>
      <c r="Q249" s="50" t="str">
        <f t="shared" ca="1" si="133"/>
        <v/>
      </c>
      <c r="R249" s="50" t="str">
        <f t="shared" ca="1" si="116"/>
        <v/>
      </c>
      <c r="S249" s="50" t="str">
        <f t="shared" ca="1" si="117"/>
        <v/>
      </c>
      <c r="T249" s="51" t="str">
        <f t="shared" ca="1" si="126"/>
        <v/>
      </c>
      <c r="U249" s="51" t="str">
        <f t="shared" ca="1" si="127"/>
        <v/>
      </c>
      <c r="V249" s="50">
        <f t="shared" ca="1" si="114"/>
        <v>1</v>
      </c>
      <c r="W249" s="70" t="str">
        <f t="shared" ca="1" si="134"/>
        <v>Appoggio!$A$11:$A$13</v>
      </c>
      <c r="X249" s="52" t="s">
        <v>449</v>
      </c>
      <c r="Y249" s="117"/>
      <c r="Z249" s="110"/>
    </row>
    <row r="250" spans="1:26" ht="14.25" customHeight="1">
      <c r="A250" s="213"/>
      <c r="B250" s="164" t="s">
        <v>172</v>
      </c>
      <c r="C250" s="163" t="s">
        <v>450</v>
      </c>
      <c r="D250" s="55" t="s">
        <v>18</v>
      </c>
      <c r="E250" s="67"/>
      <c r="F250" s="106" t="s">
        <v>18</v>
      </c>
      <c r="G250" s="165" t="str">
        <f>IF(L250&gt;0,"✔","")</f>
        <v>✔</v>
      </c>
      <c r="H250" s="164" t="s">
        <v>162</v>
      </c>
      <c r="I250" s="71" t="s">
        <v>28</v>
      </c>
      <c r="J250" s="71" t="s">
        <v>480</v>
      </c>
      <c r="K250" s="184">
        <v>1</v>
      </c>
      <c r="L250" s="184">
        <f>IF(COUNTA(F250:F253)&lt;&gt;0,K250,0)</f>
        <v>1</v>
      </c>
      <c r="M250" s="60">
        <v>1</v>
      </c>
      <c r="N250" s="60">
        <f t="shared" si="115"/>
        <v>1</v>
      </c>
      <c r="O250" s="61" t="s">
        <v>23</v>
      </c>
      <c r="P250" s="41" cm="1">
        <f t="array" aca="1" ref="P250" ca="1">IF(F250&lt;&gt;"",SUMPRODUCT(MAX((INDIRECT(ADDRESS(1,COLUMN(K$1),2) &amp;":"&amp; ADDRESS(ROW(),COLUMN(K$1),4))&lt;&gt;"")*(ROW(INDIRECT(ADDRESS(1,COLUMN(K$1),2) &amp;":"&amp; ADDRESS(ROW(),COLUMN(K$1),4)))))),239)</f>
        <v>250</v>
      </c>
      <c r="Q250" s="41" t="str">
        <f t="shared" ca="1" si="133"/>
        <v/>
      </c>
      <c r="R250" s="41" t="str">
        <f t="shared" ca="1" si="116"/>
        <v/>
      </c>
      <c r="S250" s="41" t="str">
        <f t="shared" ca="1" si="117"/>
        <v/>
      </c>
      <c r="T250" s="63" t="str">
        <f t="shared" ca="1" si="126"/>
        <v/>
      </c>
      <c r="U250" s="63" t="str">
        <f t="shared" ca="1" si="127"/>
        <v/>
      </c>
      <c r="V250" s="64">
        <f t="shared" ca="1" si="114"/>
        <v>1</v>
      </c>
      <c r="W250" s="43" t="str">
        <f t="shared" ca="1" si="134"/>
        <v>Appoggio!$A$17:$A$18</v>
      </c>
      <c r="X250" s="65" t="s">
        <v>451</v>
      </c>
      <c r="Y250" s="118"/>
      <c r="Z250" s="111"/>
    </row>
    <row r="251" spans="1:26" ht="28">
      <c r="A251" s="213"/>
      <c r="B251" s="164"/>
      <c r="C251" s="163"/>
      <c r="D251" s="55" t="s">
        <v>18</v>
      </c>
      <c r="E251" s="67"/>
      <c r="F251" s="106" t="s">
        <v>18</v>
      </c>
      <c r="G251" s="165"/>
      <c r="H251" s="164"/>
      <c r="I251" s="66"/>
      <c r="J251" s="75" t="s">
        <v>525</v>
      </c>
      <c r="K251" s="184"/>
      <c r="L251" s="184"/>
      <c r="M251" s="39">
        <v>3</v>
      </c>
      <c r="N251" s="39">
        <f t="shared" si="115"/>
        <v>3</v>
      </c>
      <c r="O251" s="40" t="s">
        <v>21</v>
      </c>
      <c r="P251" s="41" cm="1">
        <f t="array" aca="1" ref="P251" ca="1">IF(F251&lt;&gt;"",SUMPRODUCT(MAX((INDIRECT(ADDRESS(1,COLUMN(K$1),2) &amp;":"&amp; ADDRESS(ROW(),COLUMN(K$1),4))&lt;&gt;"")*(ROW(INDIRECT(ADDRESS(1,COLUMN(K$1),2) &amp;":"&amp; ADDRESS(ROW(),COLUMN(K$1),4)))))),239)</f>
        <v>250</v>
      </c>
      <c r="Q251" s="41" t="str">
        <f t="shared" ca="1" si="133"/>
        <v/>
      </c>
      <c r="R251" s="41" t="str">
        <f t="shared" ca="1" si="116"/>
        <v/>
      </c>
      <c r="S251" s="41" t="str">
        <f t="shared" ca="1" si="117"/>
        <v/>
      </c>
      <c r="T251" s="42" t="str">
        <f t="shared" ca="1" si="126"/>
        <v/>
      </c>
      <c r="U251" s="42" t="str">
        <f t="shared" ca="1" si="127"/>
        <v/>
      </c>
      <c r="V251" s="41">
        <f t="shared" ca="1" si="114"/>
        <v>1</v>
      </c>
      <c r="W251" s="45" t="str">
        <f t="shared" ca="1" si="134"/>
        <v>Appoggio!$A$11:$A$13</v>
      </c>
      <c r="X251" s="46" t="s">
        <v>452</v>
      </c>
      <c r="Y251" s="116"/>
      <c r="Z251" s="109"/>
    </row>
    <row r="252" spans="1:26" ht="14.25" customHeight="1">
      <c r="A252" s="213"/>
      <c r="B252" s="164"/>
      <c r="C252" s="163"/>
      <c r="D252" s="55" t="s">
        <v>18</v>
      </c>
      <c r="E252" s="67"/>
      <c r="F252" s="106" t="s">
        <v>18</v>
      </c>
      <c r="G252" s="165"/>
      <c r="H252" s="164"/>
      <c r="I252" s="66" t="s">
        <v>42</v>
      </c>
      <c r="J252" s="66" t="s">
        <v>509</v>
      </c>
      <c r="K252" s="184"/>
      <c r="L252" s="184"/>
      <c r="M252" s="39">
        <v>1</v>
      </c>
      <c r="N252" s="39">
        <f t="shared" si="115"/>
        <v>1</v>
      </c>
      <c r="O252" s="40" t="s">
        <v>21</v>
      </c>
      <c r="P252" s="41" cm="1">
        <f t="array" aca="1" ref="P252" ca="1">IF(F252&lt;&gt;"",SUMPRODUCT(MAX((INDIRECT(ADDRESS(1,COLUMN(K$1),2) &amp;":"&amp; ADDRESS(ROW(),COLUMN(K$1),4))&lt;&gt;"")*(ROW(INDIRECT(ADDRESS(1,COLUMN(K$1),2) &amp;":"&amp; ADDRESS(ROW(),COLUMN(K$1),4)))))),239)</f>
        <v>250</v>
      </c>
      <c r="Q252" s="41" t="str">
        <f t="shared" ca="1" si="133"/>
        <v/>
      </c>
      <c r="R252" s="41" t="str">
        <f t="shared" ca="1" si="116"/>
        <v/>
      </c>
      <c r="S252" s="41" t="str">
        <f t="shared" ca="1" si="117"/>
        <v/>
      </c>
      <c r="T252" s="42" t="str">
        <f t="shared" ca="1" si="126"/>
        <v/>
      </c>
      <c r="U252" s="42" t="str">
        <f t="shared" ca="1" si="127"/>
        <v/>
      </c>
      <c r="V252" s="41">
        <f t="shared" ca="1" si="114"/>
        <v>1</v>
      </c>
      <c r="W252" s="45" t="str">
        <f t="shared" ca="1" si="134"/>
        <v>Appoggio!$A$11:$A$13</v>
      </c>
      <c r="X252" s="46" t="s">
        <v>453</v>
      </c>
      <c r="Y252" s="116"/>
      <c r="Z252" s="109"/>
    </row>
    <row r="253" spans="1:26" ht="14.25" customHeight="1">
      <c r="A253" s="213"/>
      <c r="B253" s="164"/>
      <c r="C253" s="163"/>
      <c r="D253" s="55" t="s">
        <v>18</v>
      </c>
      <c r="E253" s="67"/>
      <c r="F253" s="106" t="s">
        <v>18</v>
      </c>
      <c r="G253" s="165"/>
      <c r="H253" s="164"/>
      <c r="I253" s="66" t="s">
        <v>164</v>
      </c>
      <c r="J253" s="66" t="s">
        <v>528</v>
      </c>
      <c r="K253" s="184"/>
      <c r="L253" s="184"/>
      <c r="M253" s="39">
        <v>2</v>
      </c>
      <c r="N253" s="39">
        <f t="shared" si="115"/>
        <v>2</v>
      </c>
      <c r="O253" s="40" t="s">
        <v>21</v>
      </c>
      <c r="P253" s="41" cm="1">
        <f t="array" aca="1" ref="P253" ca="1">IF(F253&lt;&gt;"",SUMPRODUCT(MAX((INDIRECT(ADDRESS(1,COLUMN(K$1),2) &amp;":"&amp; ADDRESS(ROW(),COLUMN(K$1),4))&lt;&gt;"")*(ROW(INDIRECT(ADDRESS(1,COLUMN(K$1),2) &amp;":"&amp; ADDRESS(ROW(),COLUMN(K$1),4)))))),239)</f>
        <v>250</v>
      </c>
      <c r="Q253" s="41" t="str">
        <f t="shared" ca="1" si="133"/>
        <v/>
      </c>
      <c r="R253" s="41" t="str">
        <f t="shared" ca="1" si="116"/>
        <v/>
      </c>
      <c r="S253" s="41" t="str">
        <f t="shared" ca="1" si="117"/>
        <v/>
      </c>
      <c r="T253" s="42" t="str">
        <f t="shared" ca="1" si="126"/>
        <v/>
      </c>
      <c r="U253" s="42" t="str">
        <f t="shared" ca="1" si="127"/>
        <v/>
      </c>
      <c r="V253" s="41">
        <f t="shared" ca="1" si="114"/>
        <v>1</v>
      </c>
      <c r="W253" s="45" t="str">
        <f t="shared" ca="1" si="134"/>
        <v>Appoggio!$A$11:$A$13</v>
      </c>
      <c r="X253" s="46" t="s">
        <v>454</v>
      </c>
      <c r="Y253" s="117"/>
      <c r="Z253" s="109"/>
    </row>
  </sheetData>
  <sheetProtection algorithmName="SHA-512" hashValue="b1SElaZOYrsG+z0ZKej4+MLawDfO9/oiwG8qGx7H5LzJ1ll2zrg/fKN0YoSfyIsTkRXAOLTYSZ00gzbJbjrzYQ==" saltValue="hfo2Zv8yKcVrTYFgpGk3Pw==" spinCount="100000" sheet="1" objects="1" scenarios="1"/>
  <autoFilter ref="A2:Y253" xr:uid="{00000000-0009-0000-0000-000001000000}"/>
  <mergeCells count="365">
    <mergeCell ref="B217:B220"/>
    <mergeCell ref="C217:C220"/>
    <mergeCell ref="G217:G220"/>
    <mergeCell ref="H217:H220"/>
    <mergeCell ref="I217:I220"/>
    <mergeCell ref="J217:J220"/>
    <mergeCell ref="K217:K220"/>
    <mergeCell ref="L217:L220"/>
    <mergeCell ref="G236:G240"/>
    <mergeCell ref="J224:J228"/>
    <mergeCell ref="J234:J235"/>
    <mergeCell ref="G241:G245"/>
    <mergeCell ref="G246:G249"/>
    <mergeCell ref="G250:G253"/>
    <mergeCell ref="G190:G195"/>
    <mergeCell ref="G196:G197"/>
    <mergeCell ref="G198:G201"/>
    <mergeCell ref="G202:G204"/>
    <mergeCell ref="G205:G210"/>
    <mergeCell ref="G211:G216"/>
    <mergeCell ref="G221:G223"/>
    <mergeCell ref="G224:G228"/>
    <mergeCell ref="G229:G235"/>
    <mergeCell ref="G3:G7"/>
    <mergeCell ref="G8:G20"/>
    <mergeCell ref="G21:G24"/>
    <mergeCell ref="G25:G28"/>
    <mergeCell ref="G29:G35"/>
    <mergeCell ref="G36:G40"/>
    <mergeCell ref="G41:G45"/>
    <mergeCell ref="G46:G52"/>
    <mergeCell ref="G53:G59"/>
    <mergeCell ref="L250:L253"/>
    <mergeCell ref="D1:E1"/>
    <mergeCell ref="F1:F2"/>
    <mergeCell ref="L202:L204"/>
    <mergeCell ref="L205:L210"/>
    <mergeCell ref="L211:L216"/>
    <mergeCell ref="L221:L223"/>
    <mergeCell ref="L224:L228"/>
    <mergeCell ref="L229:L235"/>
    <mergeCell ref="L236:L240"/>
    <mergeCell ref="L241:L245"/>
    <mergeCell ref="L246:L249"/>
    <mergeCell ref="L158:L160"/>
    <mergeCell ref="L161:L165"/>
    <mergeCell ref="L166:L170"/>
    <mergeCell ref="L171:L178"/>
    <mergeCell ref="L179:L182"/>
    <mergeCell ref="L183:L189"/>
    <mergeCell ref="L190:L195"/>
    <mergeCell ref="L196:L197"/>
    <mergeCell ref="L198:L201"/>
    <mergeCell ref="L109:L113"/>
    <mergeCell ref="L114:L117"/>
    <mergeCell ref="L118:L122"/>
    <mergeCell ref="L123:L126"/>
    <mergeCell ref="L127:L133"/>
    <mergeCell ref="L134:L139"/>
    <mergeCell ref="L140:L145"/>
    <mergeCell ref="L146:L152"/>
    <mergeCell ref="L153:L157"/>
    <mergeCell ref="L60:L65"/>
    <mergeCell ref="L66:L69"/>
    <mergeCell ref="L70:L76"/>
    <mergeCell ref="L78:L80"/>
    <mergeCell ref="L81:L85"/>
    <mergeCell ref="L86:L90"/>
    <mergeCell ref="L91:L96"/>
    <mergeCell ref="L97:L100"/>
    <mergeCell ref="L101:L108"/>
    <mergeCell ref="L3:L7"/>
    <mergeCell ref="L8:L20"/>
    <mergeCell ref="L21:L24"/>
    <mergeCell ref="L25:L28"/>
    <mergeCell ref="L29:L35"/>
    <mergeCell ref="L36:L40"/>
    <mergeCell ref="L41:L45"/>
    <mergeCell ref="L46:L52"/>
    <mergeCell ref="L53:L59"/>
    <mergeCell ref="T1:T2"/>
    <mergeCell ref="V1:V2"/>
    <mergeCell ref="U1:U2"/>
    <mergeCell ref="B221:B223"/>
    <mergeCell ref="C221:C223"/>
    <mergeCell ref="H221:H223"/>
    <mergeCell ref="K221:K223"/>
    <mergeCell ref="A224:A253"/>
    <mergeCell ref="B224:B228"/>
    <mergeCell ref="C224:C228"/>
    <mergeCell ref="H224:H225"/>
    <mergeCell ref="I224:I228"/>
    <mergeCell ref="K224:K228"/>
    <mergeCell ref="H226:H228"/>
    <mergeCell ref="B229:B235"/>
    <mergeCell ref="C229:C235"/>
    <mergeCell ref="H229:H233"/>
    <mergeCell ref="K229:K235"/>
    <mergeCell ref="H234:H235"/>
    <mergeCell ref="I234:I235"/>
    <mergeCell ref="B236:B240"/>
    <mergeCell ref="C236:C240"/>
    <mergeCell ref="H236:H240"/>
    <mergeCell ref="K236:K240"/>
    <mergeCell ref="B241:B245"/>
    <mergeCell ref="B250:B253"/>
    <mergeCell ref="C250:C253"/>
    <mergeCell ref="H250:H253"/>
    <mergeCell ref="K250:K253"/>
    <mergeCell ref="C241:C245"/>
    <mergeCell ref="H241:H245"/>
    <mergeCell ref="B198:B201"/>
    <mergeCell ref="C198:C201"/>
    <mergeCell ref="H198:H201"/>
    <mergeCell ref="I198:I201"/>
    <mergeCell ref="K198:K201"/>
    <mergeCell ref="K241:K245"/>
    <mergeCell ref="B246:B249"/>
    <mergeCell ref="C246:C249"/>
    <mergeCell ref="H246:H249"/>
    <mergeCell ref="K246:K249"/>
    <mergeCell ref="B202:B204"/>
    <mergeCell ref="C202:C204"/>
    <mergeCell ref="H202:H204"/>
    <mergeCell ref="K202:K204"/>
    <mergeCell ref="B205:B210"/>
    <mergeCell ref="C205:C210"/>
    <mergeCell ref="H205:H210"/>
    <mergeCell ref="I205:I208"/>
    <mergeCell ref="K205:K210"/>
    <mergeCell ref="B211:B216"/>
    <mergeCell ref="C211:C216"/>
    <mergeCell ref="H211:H216"/>
    <mergeCell ref="I211:I216"/>
    <mergeCell ref="K211:K216"/>
    <mergeCell ref="B190:B195"/>
    <mergeCell ref="C190:C195"/>
    <mergeCell ref="H190:H195"/>
    <mergeCell ref="I190:I195"/>
    <mergeCell ref="K190:K195"/>
    <mergeCell ref="B196:B197"/>
    <mergeCell ref="C196:C197"/>
    <mergeCell ref="H196:H197"/>
    <mergeCell ref="I196:I197"/>
    <mergeCell ref="K196:K197"/>
    <mergeCell ref="J190:J195"/>
    <mergeCell ref="J196:J197"/>
    <mergeCell ref="J198:J201"/>
    <mergeCell ref="J205:J208"/>
    <mergeCell ref="J211:J216"/>
    <mergeCell ref="C179:C182"/>
    <mergeCell ref="H179:H182"/>
    <mergeCell ref="I179:I182"/>
    <mergeCell ref="K179:K182"/>
    <mergeCell ref="I166:I168"/>
    <mergeCell ref="H166:H168"/>
    <mergeCell ref="B183:B189"/>
    <mergeCell ref="C183:C189"/>
    <mergeCell ref="H183:H189"/>
    <mergeCell ref="K183:K189"/>
    <mergeCell ref="G166:G170"/>
    <mergeCell ref="G171:G178"/>
    <mergeCell ref="G179:G182"/>
    <mergeCell ref="G183:G189"/>
    <mergeCell ref="B179:B182"/>
    <mergeCell ref="J179:J182"/>
    <mergeCell ref="H161:H165"/>
    <mergeCell ref="I161:I165"/>
    <mergeCell ref="K161:K165"/>
    <mergeCell ref="B166:B170"/>
    <mergeCell ref="C166:C170"/>
    <mergeCell ref="K166:K170"/>
    <mergeCell ref="B171:B178"/>
    <mergeCell ref="C171:C178"/>
    <mergeCell ref="K171:K178"/>
    <mergeCell ref="G161:G165"/>
    <mergeCell ref="B161:B165"/>
    <mergeCell ref="C161:C165"/>
    <mergeCell ref="J166:J168"/>
    <mergeCell ref="H153:H154"/>
    <mergeCell ref="I153:I154"/>
    <mergeCell ref="K153:K157"/>
    <mergeCell ref="B158:B160"/>
    <mergeCell ref="C158:C160"/>
    <mergeCell ref="H158:H160"/>
    <mergeCell ref="I158:I160"/>
    <mergeCell ref="K158:K160"/>
    <mergeCell ref="G153:G157"/>
    <mergeCell ref="G158:G160"/>
    <mergeCell ref="B153:B157"/>
    <mergeCell ref="C153:C157"/>
    <mergeCell ref="H140:H145"/>
    <mergeCell ref="I140:I145"/>
    <mergeCell ref="K140:K145"/>
    <mergeCell ref="B146:B152"/>
    <mergeCell ref="C146:C152"/>
    <mergeCell ref="H146:H152"/>
    <mergeCell ref="I146:I152"/>
    <mergeCell ref="K146:K152"/>
    <mergeCell ref="G140:G145"/>
    <mergeCell ref="G146:G152"/>
    <mergeCell ref="B140:B145"/>
    <mergeCell ref="C140:C145"/>
    <mergeCell ref="B134:B139"/>
    <mergeCell ref="C134:C139"/>
    <mergeCell ref="H134:H139"/>
    <mergeCell ref="I134:I139"/>
    <mergeCell ref="K134:K139"/>
    <mergeCell ref="G134:G139"/>
    <mergeCell ref="H114:H117"/>
    <mergeCell ref="K114:K117"/>
    <mergeCell ref="B118:B122"/>
    <mergeCell ref="C118:C122"/>
    <mergeCell ref="H118:H122"/>
    <mergeCell ref="I118:I122"/>
    <mergeCell ref="K118:K122"/>
    <mergeCell ref="B123:B126"/>
    <mergeCell ref="C123:C126"/>
    <mergeCell ref="H123:H126"/>
    <mergeCell ref="K123:K126"/>
    <mergeCell ref="I125:I126"/>
    <mergeCell ref="B114:B117"/>
    <mergeCell ref="C114:C117"/>
    <mergeCell ref="B127:B133"/>
    <mergeCell ref="C127:C133"/>
    <mergeCell ref="G114:G117"/>
    <mergeCell ref="G118:G122"/>
    <mergeCell ref="B109:B113"/>
    <mergeCell ref="C109:C113"/>
    <mergeCell ref="H109:H110"/>
    <mergeCell ref="K109:K113"/>
    <mergeCell ref="H111:H113"/>
    <mergeCell ref="B86:B90"/>
    <mergeCell ref="C86:C90"/>
    <mergeCell ref="H127:H133"/>
    <mergeCell ref="K127:K133"/>
    <mergeCell ref="G86:G90"/>
    <mergeCell ref="G91:G96"/>
    <mergeCell ref="G97:G100"/>
    <mergeCell ref="G101:G108"/>
    <mergeCell ref="G109:G113"/>
    <mergeCell ref="G123:G126"/>
    <mergeCell ref="G127:G133"/>
    <mergeCell ref="C91:C96"/>
    <mergeCell ref="H91:H96"/>
    <mergeCell ref="K91:K96"/>
    <mergeCell ref="B97:B100"/>
    <mergeCell ref="C97:C100"/>
    <mergeCell ref="H97:H100"/>
    <mergeCell ref="K97:K100"/>
    <mergeCell ref="B101:B108"/>
    <mergeCell ref="C101:C108"/>
    <mergeCell ref="H101:H108"/>
    <mergeCell ref="I101:I108"/>
    <mergeCell ref="K101:K108"/>
    <mergeCell ref="K78:K80"/>
    <mergeCell ref="B81:B85"/>
    <mergeCell ref="C81:C85"/>
    <mergeCell ref="H81:H85"/>
    <mergeCell ref="K81:K85"/>
    <mergeCell ref="B78:B80"/>
    <mergeCell ref="C78:C80"/>
    <mergeCell ref="H86:H90"/>
    <mergeCell ref="I86:I90"/>
    <mergeCell ref="K86:K90"/>
    <mergeCell ref="K46:K52"/>
    <mergeCell ref="B53:B59"/>
    <mergeCell ref="C53:C59"/>
    <mergeCell ref="H53:H59"/>
    <mergeCell ref="K53:K59"/>
    <mergeCell ref="B41:B45"/>
    <mergeCell ref="C41:C45"/>
    <mergeCell ref="G66:G69"/>
    <mergeCell ref="G70:G76"/>
    <mergeCell ref="H60:H65"/>
    <mergeCell ref="I60:I62"/>
    <mergeCell ref="K60:K65"/>
    <mergeCell ref="B66:B69"/>
    <mergeCell ref="C66:C69"/>
    <mergeCell ref="H66:H69"/>
    <mergeCell ref="K66:K69"/>
    <mergeCell ref="C70:C76"/>
    <mergeCell ref="H70:H76"/>
    <mergeCell ref="K70:K76"/>
    <mergeCell ref="B70:B76"/>
    <mergeCell ref="B60:B65"/>
    <mergeCell ref="C60:C65"/>
    <mergeCell ref="G60:G65"/>
    <mergeCell ref="K29:K35"/>
    <mergeCell ref="B36:B40"/>
    <mergeCell ref="C36:C40"/>
    <mergeCell ref="H36:H40"/>
    <mergeCell ref="I36:I40"/>
    <mergeCell ref="K36:K40"/>
    <mergeCell ref="H25:H28"/>
    <mergeCell ref="H41:H45"/>
    <mergeCell ref="I41:I42"/>
    <mergeCell ref="K41:K45"/>
    <mergeCell ref="R1:R2"/>
    <mergeCell ref="S1:S2"/>
    <mergeCell ref="W1:W2"/>
    <mergeCell ref="Y1:Y2"/>
    <mergeCell ref="X1:X2"/>
    <mergeCell ref="Z1:Z2"/>
    <mergeCell ref="A3:A90"/>
    <mergeCell ref="B3:B7"/>
    <mergeCell ref="C3:C7"/>
    <mergeCell ref="H3:H7"/>
    <mergeCell ref="I3:I7"/>
    <mergeCell ref="K3:K7"/>
    <mergeCell ref="B8:B20"/>
    <mergeCell ref="C8:C20"/>
    <mergeCell ref="H8:H20"/>
    <mergeCell ref="K8:K20"/>
    <mergeCell ref="B21:B24"/>
    <mergeCell ref="C21:C24"/>
    <mergeCell ref="H21:H24"/>
    <mergeCell ref="I21:I24"/>
    <mergeCell ref="K21:K24"/>
    <mergeCell ref="B25:B28"/>
    <mergeCell ref="C25:C28"/>
    <mergeCell ref="K25:K28"/>
    <mergeCell ref="K1:K2"/>
    <mergeCell ref="M1:M2"/>
    <mergeCell ref="O1:O2"/>
    <mergeCell ref="P1:P2"/>
    <mergeCell ref="N1:N2"/>
    <mergeCell ref="L1:L2"/>
    <mergeCell ref="G1:G2"/>
    <mergeCell ref="H1:J1"/>
    <mergeCell ref="Q1:Q2"/>
    <mergeCell ref="J118:J122"/>
    <mergeCell ref="J125:J126"/>
    <mergeCell ref="J134:J139"/>
    <mergeCell ref="J140:J145"/>
    <mergeCell ref="J146:J152"/>
    <mergeCell ref="J153:J154"/>
    <mergeCell ref="J158:J160"/>
    <mergeCell ref="J161:J165"/>
    <mergeCell ref="A1:A2"/>
    <mergeCell ref="B1:B2"/>
    <mergeCell ref="C1:C2"/>
    <mergeCell ref="B29:B35"/>
    <mergeCell ref="C29:C35"/>
    <mergeCell ref="H29:H35"/>
    <mergeCell ref="I29:I35"/>
    <mergeCell ref="B46:B52"/>
    <mergeCell ref="C46:C52"/>
    <mergeCell ref="H46:H52"/>
    <mergeCell ref="G78:G80"/>
    <mergeCell ref="G81:G85"/>
    <mergeCell ref="H78:H80"/>
    <mergeCell ref="I78:I80"/>
    <mergeCell ref="A91:A223"/>
    <mergeCell ref="B91:B96"/>
    <mergeCell ref="J3:J7"/>
    <mergeCell ref="J21:J24"/>
    <mergeCell ref="J29:J35"/>
    <mergeCell ref="J36:J40"/>
    <mergeCell ref="J41:J42"/>
    <mergeCell ref="J60:J62"/>
    <mergeCell ref="J78:J80"/>
    <mergeCell ref="J86:J90"/>
    <mergeCell ref="J101:J108"/>
    <mergeCell ref="J66:J67"/>
  </mergeCells>
  <conditionalFormatting sqref="Y3:Y253">
    <cfRule type="cellIs" dxfId="3" priority="1" operator="equal">
      <formula>"Sì"</formula>
    </cfRule>
    <cfRule type="cellIs" dxfId="2" priority="2" operator="equal">
      <formula>"No"</formula>
    </cfRule>
    <cfRule type="cellIs" dxfId="1" priority="3" operator="equal">
      <formula>"Parziale"</formula>
    </cfRule>
    <cfRule type="expression" dxfId="0" priority="4">
      <formula>Y3=""</formula>
    </cfRule>
  </conditionalFormatting>
  <dataValidations count="3">
    <dataValidation type="list" allowBlank="1" showInputMessage="1" showErrorMessage="1" sqref="Y112:Y253 Y3:Y109" xr:uid="{2410FE02-93CF-441E-888B-8904ABB3C545}">
      <formula1>INDIRECT(W3)</formula1>
      <formula2>0</formula2>
    </dataValidation>
    <dataValidation type="list" allowBlank="1" showInputMessage="1" showErrorMessage="1" sqref="Y110:Y111" xr:uid="{9CF5765F-89DD-4BC6-BF60-C9F301F3027C}">
      <formula1>INDIRECT(W111)</formula1>
      <formula2>0</formula2>
    </dataValidation>
    <dataValidation type="list" allowBlank="1" showErrorMessage="1" sqref="O3:O253" xr:uid="{2AAFB4AF-EB3F-431A-B4CD-D025E8838C45}">
      <formula1>Range_validi</formula1>
      <formula2>0</formula2>
    </dataValidation>
  </dataValidations>
  <pageMargins left="0.59027777777777801" right="0.59027777777777801" top="0.51180555555555596" bottom="0.51180555555555596" header="0.511811023622047" footer="0.511811023622047"/>
  <pageSetup scale="41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01D133E-7221-40B8-8380-50C64B649880}">
          <x14:formula1>
            <xm:f>Appoggio!$A$7:$B$7</xm:f>
          </x14:formula1>
          <xm:sqref>F3:F253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showGridLines="0" zoomScaleNormal="100" workbookViewId="0">
      <selection sqref="A1:C1"/>
    </sheetView>
  </sheetViews>
  <sheetFormatPr baseColWidth="10" defaultColWidth="8.33203125" defaultRowHeight="16"/>
  <cols>
    <col min="1" max="1" width="25.83203125" customWidth="1"/>
    <col min="2" max="3" width="14.83203125" customWidth="1"/>
    <col min="4" max="4" width="53.5" customWidth="1"/>
  </cols>
  <sheetData>
    <row r="1" spans="1:4" ht="20">
      <c r="A1" s="223" t="s">
        <v>173</v>
      </c>
      <c r="B1" s="224"/>
      <c r="C1" s="225"/>
      <c r="D1" s="3"/>
    </row>
    <row r="2" spans="1:4">
      <c r="A2" s="95" t="s">
        <v>472</v>
      </c>
      <c r="B2" s="228" t="s">
        <v>474</v>
      </c>
      <c r="C2" s="229"/>
      <c r="D2" s="3"/>
    </row>
    <row r="3" spans="1:4">
      <c r="A3" s="95" t="s">
        <v>473</v>
      </c>
      <c r="B3" s="228" t="s">
        <v>475</v>
      </c>
      <c r="C3" s="229"/>
      <c r="D3" s="3"/>
    </row>
    <row r="4" spans="1:4">
      <c r="A4" s="97"/>
      <c r="B4" s="98" t="s">
        <v>466</v>
      </c>
      <c r="C4" s="99" t="s">
        <v>463</v>
      </c>
      <c r="D4" s="3"/>
    </row>
    <row r="5" spans="1:4">
      <c r="A5" s="97" t="s">
        <v>467</v>
      </c>
      <c r="B5" s="96">
        <f>COUNTIF(Questionario!B3:B253,"&lt;&gt;")</f>
        <v>48</v>
      </c>
      <c r="C5" s="100"/>
      <c r="D5" s="3"/>
    </row>
    <row r="6" spans="1:4">
      <c r="A6" s="97" t="s">
        <v>468</v>
      </c>
      <c r="B6" s="96">
        <f>COUNTIF(Questionario!G3:G253,"✔")</f>
        <v>48</v>
      </c>
      <c r="C6" s="101">
        <f>B6/B5</f>
        <v>1</v>
      </c>
      <c r="D6" s="3"/>
    </row>
    <row r="7" spans="1:4">
      <c r="A7" s="97" t="s">
        <v>469</v>
      </c>
      <c r="B7" s="96">
        <f>COUNTA(Questionario!X3:X253)</f>
        <v>251</v>
      </c>
      <c r="C7" s="101"/>
      <c r="D7" s="3"/>
    </row>
    <row r="8" spans="1:4">
      <c r="A8" s="97" t="s">
        <v>470</v>
      </c>
      <c r="B8" s="96">
        <f>COUNTA(Questionario!F3:F253)</f>
        <v>251</v>
      </c>
      <c r="C8" s="101">
        <f>B8/B7</f>
        <v>1</v>
      </c>
      <c r="D8" s="3"/>
    </row>
    <row r="9" spans="1:4">
      <c r="A9" s="97" t="s">
        <v>471</v>
      </c>
      <c r="B9" s="96">
        <f>ROWS(Questionario!Y3:Y253)-COUNTIF(Questionario!Y3:Y253,"")</f>
        <v>0</v>
      </c>
      <c r="C9" s="101">
        <f>B9/B8</f>
        <v>0</v>
      </c>
      <c r="D9" s="13"/>
    </row>
    <row r="10" spans="1:4">
      <c r="A10" s="97"/>
      <c r="B10" s="102"/>
      <c r="C10" s="103"/>
      <c r="D10" s="3"/>
    </row>
    <row r="11" spans="1:4">
      <c r="A11" s="97" t="s">
        <v>457</v>
      </c>
      <c r="B11" s="104">
        <f ca="1">SUMPRODUCT(Questionario!T3:T253,Questionario!V3:V253)</f>
        <v>0</v>
      </c>
      <c r="C11" s="103"/>
      <c r="D11" s="3"/>
    </row>
    <row r="12" spans="1:4">
      <c r="A12" s="97" t="s">
        <v>462</v>
      </c>
      <c r="B12" s="104">
        <f>SUM(Questionario!L3:L253)</f>
        <v>65</v>
      </c>
      <c r="C12" s="103"/>
      <c r="D12" s="3"/>
    </row>
    <row r="13" spans="1:4" ht="21" thickBot="1">
      <c r="A13" s="226" t="s">
        <v>476</v>
      </c>
      <c r="B13" s="227"/>
      <c r="C13" s="105">
        <f ca="1">B11/B12</f>
        <v>0</v>
      </c>
    </row>
  </sheetData>
  <sheetProtection algorithmName="SHA-512" hashValue="N6SDjiPD6pACMzMDgDyXmRn2bIjZ3ZslEjPVzMzDgRm9/g30yS+FvvNM2T1LiOvSlNGxQ+FFTkF/FyHDIU1P+w==" saltValue="AgY2CpKCVL5RLhL8m8i8gA==" spinCount="100000" sheet="1" objects="1" scenarios="1"/>
  <mergeCells count="4">
    <mergeCell ref="A1:C1"/>
    <mergeCell ref="A13:B13"/>
    <mergeCell ref="B2:C2"/>
    <mergeCell ref="B3:C3"/>
  </mergeCells>
  <pageMargins left="0.78749999999999998" right="0.78749999999999998" top="0.78749999999999998" bottom="0.78749999999999998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D18"/>
  <sheetViews>
    <sheetView zoomScaleNormal="100" workbookViewId="0">
      <selection sqref="A1:XFD1048576"/>
    </sheetView>
  </sheetViews>
  <sheetFormatPr baseColWidth="10" defaultColWidth="8.33203125" defaultRowHeight="16"/>
  <cols>
    <col min="1" max="3" width="8.33203125" style="17"/>
    <col min="4" max="4" width="26.83203125" style="17" customWidth="1"/>
    <col min="5" max="16384" width="8.33203125" style="17"/>
  </cols>
  <sheetData>
    <row r="3" spans="1:4" ht="18">
      <c r="A3" s="14" t="s">
        <v>174</v>
      </c>
      <c r="B3" s="15"/>
      <c r="C3" s="16"/>
      <c r="D3" s="16"/>
    </row>
    <row r="4" spans="1:4">
      <c r="A4" s="18" t="str">
        <f>A9</f>
        <v>Range_1</v>
      </c>
      <c r="B4" s="19"/>
      <c r="C4" s="16"/>
      <c r="D4" s="16"/>
    </row>
    <row r="5" spans="1:4">
      <c r="A5" s="20" t="str">
        <f>A15</f>
        <v>Range_2</v>
      </c>
      <c r="B5" s="21"/>
      <c r="C5" s="16"/>
      <c r="D5" s="16"/>
    </row>
    <row r="6" spans="1:4" ht="18">
      <c r="A6" s="22"/>
      <c r="B6" s="16"/>
      <c r="C6" s="16"/>
      <c r="D6" s="16"/>
    </row>
    <row r="7" spans="1:4" ht="22">
      <c r="A7" s="23" t="s">
        <v>18</v>
      </c>
      <c r="B7" s="16"/>
      <c r="C7" s="16"/>
      <c r="D7" s="16"/>
    </row>
    <row r="8" spans="1:4">
      <c r="A8" s="16"/>
      <c r="B8" s="16"/>
      <c r="C8" s="16"/>
      <c r="D8" s="16"/>
    </row>
    <row r="9" spans="1:4" ht="15" customHeight="1">
      <c r="A9" s="230" t="s">
        <v>21</v>
      </c>
      <c r="B9" s="230"/>
      <c r="C9" s="24"/>
      <c r="D9" s="231" t="s">
        <v>175</v>
      </c>
    </row>
    <row r="10" spans="1:4">
      <c r="A10" s="25" t="s">
        <v>176</v>
      </c>
      <c r="B10" s="26" t="s">
        <v>177</v>
      </c>
      <c r="C10" s="24"/>
      <c r="D10" s="231"/>
    </row>
    <row r="11" spans="1:4">
      <c r="A11" s="27" t="s">
        <v>22</v>
      </c>
      <c r="B11" s="28">
        <v>1</v>
      </c>
      <c r="C11" s="24"/>
      <c r="D11" s="231"/>
    </row>
    <row r="12" spans="1:4">
      <c r="A12" s="27" t="s">
        <v>25</v>
      </c>
      <c r="B12" s="28">
        <v>0.5</v>
      </c>
      <c r="C12" s="24"/>
      <c r="D12" s="231"/>
    </row>
    <row r="13" spans="1:4">
      <c r="A13" s="29" t="s">
        <v>24</v>
      </c>
      <c r="B13" s="30">
        <v>0</v>
      </c>
      <c r="C13" s="24"/>
      <c r="D13" s="231"/>
    </row>
    <row r="14" spans="1:4">
      <c r="B14" s="24"/>
      <c r="C14" s="31"/>
    </row>
    <row r="15" spans="1:4">
      <c r="A15" s="230" t="s">
        <v>23</v>
      </c>
      <c r="B15" s="230"/>
      <c r="C15" s="24"/>
    </row>
    <row r="16" spans="1:4">
      <c r="A16" s="25" t="s">
        <v>176</v>
      </c>
      <c r="B16" s="26" t="s">
        <v>177</v>
      </c>
    </row>
    <row r="17" spans="1:2">
      <c r="A17" s="27" t="s">
        <v>22</v>
      </c>
      <c r="B17" s="28">
        <v>1</v>
      </c>
    </row>
    <row r="18" spans="1:2">
      <c r="A18" s="29" t="s">
        <v>24</v>
      </c>
      <c r="B18" s="30">
        <v>0</v>
      </c>
    </row>
  </sheetData>
  <sheetProtection algorithmName="SHA-512" hashValue="6C/OalXfDN10J4t0pFU6ihL1nE53VJDw8Y1F2awGwb9VBPuP7MYlJvGugn9WzHYGuMECKpre0CnLiNU4tiOaQw==" saltValue="eym3w6XKbpuaXKsi5w4pmQ==" spinCount="100000" sheet="1" objects="1" scenarios="1" selectLockedCells="1" selectUnlockedCells="1"/>
  <mergeCells count="3">
    <mergeCell ref="A9:B9"/>
    <mergeCell ref="D9:D13"/>
    <mergeCell ref="A15:B15"/>
  </mergeCell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>
    <oddHeader>&amp;C&amp;"Arial,Normale"&amp;10&amp;Kffffff&amp;A</oddHeader>
    <oddFooter>&amp;C&amp;"Arial,Normale"&amp;10&amp;KffffffPage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Fogli di lavoro</vt:lpstr>
      </vt:variant>
      <vt:variant>
        <vt:i4>4</vt:i4>
      </vt:variant>
      <vt:variant>
        <vt:lpstr>Intervalli denominati</vt:lpstr>
      </vt:variant>
      <vt:variant>
        <vt:i4>4</vt:i4>
      </vt:variant>
    </vt:vector>
  </HeadingPairs>
  <TitlesOfParts>
    <vt:vector size="8" baseType="lpstr">
      <vt:lpstr>Introduzione</vt:lpstr>
      <vt:lpstr>Questionario</vt:lpstr>
      <vt:lpstr>Risultati</vt:lpstr>
      <vt:lpstr>Appoggio</vt:lpstr>
      <vt:lpstr>Questionario!Area_stampa</vt:lpstr>
      <vt:lpstr>Range_1</vt:lpstr>
      <vt:lpstr>Range_2</vt:lpstr>
      <vt:lpstr>Range_validi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Fabio GUASCONI</dc:creator>
  <dc:description/>
  <cp:lastModifiedBy>Gianluca Muggittu</cp:lastModifiedBy>
  <cp:revision>2</cp:revision>
  <cp:lastPrinted>2024-07-04T16:22:54Z</cp:lastPrinted>
  <dcterms:created xsi:type="dcterms:W3CDTF">2024-01-31T09:49:46Z</dcterms:created>
  <dcterms:modified xsi:type="dcterms:W3CDTF">2026-01-14T12:03:31Z</dcterms:modified>
  <dc:language>it-IT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  <property fmtid="{D5CDD505-2E9C-101B-9397-08002B2CF9AE}" pid="6" name="version">
    <vt:lpwstr>RC1</vt:lpwstr>
  </property>
</Properties>
</file>